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s" sheetId="1" state="visible" r:id="rId3"/>
    <sheet name="Metr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<sst xmlns="http://schemas.openxmlformats.org/spreadsheetml/2006/main" count="111" uniqueCount="91">
  <si>
    <t xml:space="preserve">deal_type</t>
  </si>
  <si>
    <t xml:space="preserve">date</t>
  </si>
  <si>
    <t xml:space="preserve">company</t>
  </si>
  <si>
    <t xml:space="preserve">amount_usd</t>
  </si>
  <si>
    <t xml:space="preserve">stage</t>
  </si>
  <si>
    <t xml:space="preserve">customer_type</t>
  </si>
  <si>
    <t xml:space="preserve">sector</t>
  </si>
  <si>
    <t xml:space="preserve">sub_segment</t>
  </si>
  <si>
    <t xml:space="preserve">use_case</t>
  </si>
  <si>
    <t xml:space="preserve">country</t>
  </si>
  <si>
    <t xml:space="preserve">region</t>
  </si>
  <si>
    <t xml:space="preserve">lead_investors</t>
  </si>
  <si>
    <t xml:space="preserve">founder_notes</t>
  </si>
  <si>
    <t xml:space="preserve">source_url</t>
  </si>
  <si>
    <t xml:space="preserve">amt_for_median (helper — do not edit)</t>
  </si>
  <si>
    <t xml:space="preserve">funding</t>
  </si>
  <si>
    <t xml:space="preserve">2026-06-23</t>
  </si>
  <si>
    <t xml:space="preserve">ExampleAI</t>
  </si>
  <si>
    <t xml:space="preserve">Series A</t>
  </si>
  <si>
    <t xml:space="preserve">B2B</t>
  </si>
  <si>
    <t xml:space="preserve">AI</t>
  </si>
  <si>
    <t xml:space="preserve">legal-ai</t>
  </si>
  <si>
    <t xml:space="preserve">Automates contract review for in-house legal teams</t>
  </si>
  <si>
    <t xml:space="preserve">USA</t>
  </si>
  <si>
    <t xml:space="preserve">North America</t>
  </si>
  <si>
    <t xml:space="preserve">Acme Ventures</t>
  </si>
  <si>
    <t xml:space="preserve">Repeat founder ex-BigLaw</t>
  </si>
  <si>
    <t xml:space="preserve">https://www.finsmes.com/example</t>
  </si>
  <si>
    <t xml:space="preserve">2026-06-24</t>
  </si>
  <si>
    <t xml:space="preserve">PaySeed</t>
  </si>
  <si>
    <t xml:space="preserve">Seed</t>
  </si>
  <si>
    <t xml:space="preserve">Fintech</t>
  </si>
  <si>
    <t xml:space="preserve">payments-infra</t>
  </si>
  <si>
    <t xml:space="preserve">Embedded payments API for marketplaces</t>
  </si>
  <si>
    <t xml:space="preserve">UK</t>
  </si>
  <si>
    <t xml:space="preserve">Europe</t>
  </si>
  <si>
    <t xml:space="preserve">Seed Capital LLP</t>
  </si>
  <si>
    <t xml:space="preserve">First-time technical founder</t>
  </si>
  <si>
    <t xml:space="preserve">https://techcrunch.com/example</t>
  </si>
  <si>
    <t xml:space="preserve">acquisition</t>
  </si>
  <si>
    <t xml:space="preserve">2026-06-25</t>
  </si>
  <si>
    <t xml:space="preserve">DataCo</t>
  </si>
  <si>
    <t xml:space="preserve">Acquisition</t>
  </si>
  <si>
    <t xml:space="preserve">Data</t>
  </si>
  <si>
    <t xml:space="preserve">analytics</t>
  </si>
  <si>
    <t xml:space="preserve">Acquired by BigCorp for analytics stack</t>
  </si>
  <si>
    <t xml:space="preserve">Germany</t>
  </si>
  <si>
    <t xml:space="preserve">n/a</t>
  </si>
  <si>
    <t xml:space="preserve">https://www.finsmes.com/example2</t>
  </si>
  <si>
    <t xml:space="preserve">Funding Digest — Metrics</t>
  </si>
  <si>
    <t xml:space="preserve">Numbers update automatically as you fill in the Deals tab. Only the yellow cell needs typing.</t>
  </si>
  <si>
    <t xml:space="preserve">HEADLINE</t>
  </si>
  <si>
    <t xml:space="preserve">Funding rounds</t>
  </si>
  <si>
    <t xml:space="preserve">Acquisitions</t>
  </si>
  <si>
    <t xml:space="preserve">Rounds w/ undisclosed amount</t>
  </si>
  <si>
    <t xml:space="preserve">Total raised ($)</t>
  </si>
  <si>
    <t xml:space="preserve">Median round ($)</t>
  </si>
  <si>
    <t xml:space="preserve">Prior-period total ($) — INPUT</t>
  </si>
  <si>
    <t xml:space="preserve">Growth vs prior</t>
  </si>
  <si>
    <t xml:space="preserve">STAGE SPLIT</t>
  </si>
  <si>
    <t xml:space="preserve">Deals</t>
  </si>
  <si>
    <t xml:space="preserve">Dollars ($)</t>
  </si>
  <si>
    <t xml:space="preserve">Pre-seed</t>
  </si>
  <si>
    <t xml:space="preserve">Series B</t>
  </si>
  <si>
    <t xml:space="preserve">Series C</t>
  </si>
  <si>
    <t xml:space="preserve">Growth/Late</t>
  </si>
  <si>
    <t xml:space="preserve">Other</t>
  </si>
  <si>
    <t xml:space="preserve">Total (check vs headline)</t>
  </si>
  <si>
    <t xml:space="preserve">CUSTOMER TYPE</t>
  </si>
  <si>
    <t xml:space="preserve">B2C</t>
  </si>
  <si>
    <t xml:space="preserve">B2G</t>
  </si>
  <si>
    <t xml:space="preserve">B2B2C</t>
  </si>
  <si>
    <t xml:space="preserve">SECTOR  (rename rows to match your tags)</t>
  </si>
  <si>
    <t xml:space="preserve">Healthcare</t>
  </si>
  <si>
    <t xml:space="preserve">Biotech</t>
  </si>
  <si>
    <t xml:space="preserve">Climate/Energy</t>
  </si>
  <si>
    <t xml:space="preserve">Enterprise SaaS</t>
  </si>
  <si>
    <t xml:space="preserve">Dev Tools</t>
  </si>
  <si>
    <t xml:space="preserve">Security</t>
  </si>
  <si>
    <t xml:space="preserve">Data/Infra</t>
  </si>
  <si>
    <t xml:space="preserve">Consumer</t>
  </si>
  <si>
    <t xml:space="preserve">Robotics/Hardware</t>
  </si>
  <si>
    <t xml:space="preserve">REGION</t>
  </si>
  <si>
    <t xml:space="preserve">India/South Asia</t>
  </si>
  <si>
    <t xml:space="preserve">MENA</t>
  </si>
  <si>
    <t xml:space="preserve">LATAM</t>
  </si>
  <si>
    <t xml:space="preserve">SEA</t>
  </si>
  <si>
    <t xml:space="preserve">East Asia</t>
  </si>
  <si>
    <t xml:space="preserve">Africa</t>
  </si>
  <si>
    <t xml:space="preserve">ANZ</t>
  </si>
  <si>
    <t xml:space="preserve">TOP COUNTRIES  (type country names in col 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</si>
</sst>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40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24"/>
    <col collapsed="false" customWidth="true" hidden="false" outlineLevel="0" max="14" min="14" style="0" width="30"/>
    <col collapsed="false" customWidth="true" hidden="false" outlineLevel="0" max="16" min="16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2" t="s">
        <v>14</v>
      </c>
    </row>
    <row r="2" customFormat="false" ht="15" hidden="false" customHeight="false" outlineLevel="0" collapsed="false">
      <c r="A2" s="3" t="s">
        <v>15</v>
      </c>
      <c r="B2" s="3" t="s">
        <v>16</v>
      </c>
      <c r="C2" s="3" t="s">
        <v>17</v>
      </c>
      <c r="D2" s="4" t="n">
        <v>12000000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P2" s="4" t="n">
        <f aca="false">IF(AND($A2="funding",ISNUMBER($D2)),$D2,"")</f>
        <v>12000000</v>
      </c>
    </row>
    <row r="3" customFormat="false" ht="15" hidden="false" customHeight="false" outlineLevel="0" collapsed="false">
      <c r="A3" s="3" t="s">
        <v>15</v>
      </c>
      <c r="B3" s="3" t="s">
        <v>28</v>
      </c>
      <c r="C3" s="3" t="s">
        <v>29</v>
      </c>
      <c r="D3" s="4" t="n">
        <v>2500000</v>
      </c>
      <c r="E3" s="3" t="s">
        <v>30</v>
      </c>
      <c r="F3" s="3" t="s">
        <v>19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P3" s="4" t="n">
        <f aca="false">IF(AND($A3="funding",ISNUMBER($D3)),$D3,"")</f>
        <v>2500000</v>
      </c>
    </row>
    <row r="4" customFormat="false" ht="15" hidden="false" customHeight="false" outlineLevel="0" collapsed="false">
      <c r="A4" s="3" t="s">
        <v>39</v>
      </c>
      <c r="B4" s="3" t="s">
        <v>40</v>
      </c>
      <c r="C4" s="3" t="s">
        <v>41</v>
      </c>
      <c r="D4" s="3"/>
      <c r="E4" s="3" t="s">
        <v>42</v>
      </c>
      <c r="F4" s="3" t="s">
        <v>19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35</v>
      </c>
      <c r="L4" s="3"/>
      <c r="M4" s="3" t="s">
        <v>47</v>
      </c>
      <c r="N4" s="3" t="s">
        <v>48</v>
      </c>
      <c r="P4" s="3" t="str">
        <f aca="false">IF(AND($A4="funding",ISNUMBER($D4)),$D4,"")</f>
        <v/>
      </c>
    </row>
    <row r="5" customFormat="false" ht="15" hidden="false" customHeight="false" outlineLevel="0" collapsed="false">
      <c r="P5" s="3" t="str">
        <f aca="false">IF(AND($A5="funding",ISNUMBER($D5)),$D5,"")</f>
        <v/>
      </c>
    </row>
    <row r="6" customFormat="false" ht="15" hidden="false" customHeight="false" outlineLevel="0" collapsed="false">
      <c r="P6" s="3" t="str">
        <f aca="false">IF(AND($A6="funding",ISNUMBER($D6)),$D6,"")</f>
        <v/>
      </c>
    </row>
    <row r="7" customFormat="false" ht="15" hidden="false" customHeight="false" outlineLevel="0" collapsed="false">
      <c r="P7" s="3" t="str">
        <f aca="false">IF(AND($A7="funding",ISNUMBER($D7)),$D7,"")</f>
        <v/>
      </c>
    </row>
    <row r="8" customFormat="false" ht="15" hidden="false" customHeight="false" outlineLevel="0" collapsed="false">
      <c r="P8" s="3" t="str">
        <f aca="false">IF(AND($A8="funding",ISNUMBER($D8)),$D8,"")</f>
        <v/>
      </c>
    </row>
    <row r="9" customFormat="false" ht="15" hidden="false" customHeight="false" outlineLevel="0" collapsed="false">
      <c r="P9" s="3" t="str">
        <f aca="false">IF(AND($A9="funding",ISNUMBER($D9)),$D9,"")</f>
        <v/>
      </c>
    </row>
    <row r="10" customFormat="false" ht="15" hidden="false" customHeight="false" outlineLevel="0" collapsed="false">
      <c r="P10" s="3" t="str">
        <f aca="false">IF(AND($A10="funding",ISNUMBER($D10)),$D10,"")</f>
        <v/>
      </c>
    </row>
    <row r="11" customFormat="false" ht="15" hidden="false" customHeight="false" outlineLevel="0" collapsed="false">
      <c r="P11" s="3" t="str">
        <f aca="false">IF(AND($A11="funding",ISNUMBER($D11)),$D11,"")</f>
        <v/>
      </c>
    </row>
    <row r="12" customFormat="false" ht="15" hidden="false" customHeight="false" outlineLevel="0" collapsed="false">
      <c r="P12" s="3" t="str">
        <f aca="false">IF(AND($A12="funding",ISNUMBER($D12)),$D12,"")</f>
        <v/>
      </c>
    </row>
    <row r="13" customFormat="false" ht="15" hidden="false" customHeight="false" outlineLevel="0" collapsed="false">
      <c r="P13" s="3" t="str">
        <f aca="false">IF(AND($A13="funding",ISNUMBER($D13)),$D13,"")</f>
        <v/>
      </c>
    </row>
    <row r="14" customFormat="false" ht="15" hidden="false" customHeight="false" outlineLevel="0" collapsed="false">
      <c r="P14" s="3" t="str">
        <f aca="false">IF(AND($A14="funding",ISNUMBER($D14)),$D14,"")</f>
        <v/>
      </c>
    </row>
    <row r="15" customFormat="false" ht="15" hidden="false" customHeight="false" outlineLevel="0" collapsed="false">
      <c r="P15" s="3" t="str">
        <f aca="false">IF(AND($A15="funding",ISNUMBER($D15)),$D15,"")</f>
        <v/>
      </c>
    </row>
    <row r="16" customFormat="false" ht="15" hidden="false" customHeight="false" outlineLevel="0" collapsed="false">
      <c r="P16" s="3" t="str">
        <f aca="false">IF(AND($A16="funding",ISNUMBER($D16)),$D16,"")</f>
        <v/>
      </c>
    </row>
    <row r="17" customFormat="false" ht="15" hidden="false" customHeight="false" outlineLevel="0" collapsed="false">
      <c r="P17" s="3" t="str">
        <f aca="false">IF(AND($A17="funding",ISNUMBER($D17)),$D17,"")</f>
        <v/>
      </c>
    </row>
    <row r="18" customFormat="false" ht="15" hidden="false" customHeight="false" outlineLevel="0" collapsed="false">
      <c r="P18" s="3" t="str">
        <f aca="false">IF(AND($A18="funding",ISNUMBER($D18)),$D18,"")</f>
        <v/>
      </c>
    </row>
    <row r="19" customFormat="false" ht="15" hidden="false" customHeight="false" outlineLevel="0" collapsed="false">
      <c r="P19" s="3" t="str">
        <f aca="false">IF(AND($A19="funding",ISNUMBER($D19)),$D19,"")</f>
        <v/>
      </c>
    </row>
    <row r="20" customFormat="false" ht="15" hidden="false" customHeight="false" outlineLevel="0" collapsed="false">
      <c r="P20" s="3" t="str">
        <f aca="false">IF(AND($A20="funding",ISNUMBER($D20)),$D20,"")</f>
        <v/>
      </c>
    </row>
    <row r="21" customFormat="false" ht="15" hidden="false" customHeight="false" outlineLevel="0" collapsed="false">
      <c r="P21" s="3" t="str">
        <f aca="false">IF(AND($A21="funding",ISNUMBER($D21)),$D21,"")</f>
        <v/>
      </c>
    </row>
    <row r="22" customFormat="false" ht="15" hidden="false" customHeight="false" outlineLevel="0" collapsed="false">
      <c r="P22" s="3" t="str">
        <f aca="false">IF(AND($A22="funding",ISNUMBER($D22)),$D22,"")</f>
        <v/>
      </c>
    </row>
    <row r="23" customFormat="false" ht="15" hidden="false" customHeight="false" outlineLevel="0" collapsed="false">
      <c r="P23" s="3" t="str">
        <f aca="false">IF(AND($A23="funding",ISNUMBER($D23)),$D23,"")</f>
        <v/>
      </c>
    </row>
    <row r="24" customFormat="false" ht="15" hidden="false" customHeight="false" outlineLevel="0" collapsed="false">
      <c r="P24" s="3" t="str">
        <f aca="false">IF(AND($A24="funding",ISNUMBER($D24)),$D24,"")</f>
        <v/>
      </c>
    </row>
    <row r="25" customFormat="false" ht="15" hidden="false" customHeight="false" outlineLevel="0" collapsed="false">
      <c r="P25" s="3" t="str">
        <f aca="false">IF(AND($A25="funding",ISNUMBER($D25)),$D25,"")</f>
        <v/>
      </c>
    </row>
    <row r="26" customFormat="false" ht="15" hidden="false" customHeight="false" outlineLevel="0" collapsed="false">
      <c r="P26" s="3" t="str">
        <f aca="false">IF(AND($A26="funding",ISNUMBER($D26)),$D26,"")</f>
        <v/>
      </c>
    </row>
    <row r="27" customFormat="false" ht="15" hidden="false" customHeight="false" outlineLevel="0" collapsed="false">
      <c r="P27" s="3" t="str">
        <f aca="false">IF(AND($A27="funding",ISNUMBER($D27)),$D27,"")</f>
        <v/>
      </c>
    </row>
    <row r="28" customFormat="false" ht="15" hidden="false" customHeight="false" outlineLevel="0" collapsed="false">
      <c r="P28" s="3" t="str">
        <f aca="false">IF(AND($A28="funding",ISNUMBER($D28)),$D28,"")</f>
        <v/>
      </c>
    </row>
    <row r="29" customFormat="false" ht="15" hidden="false" customHeight="false" outlineLevel="0" collapsed="false">
      <c r="P29" s="3" t="str">
        <f aca="false">IF(AND($A29="funding",ISNUMBER($D29)),$D29,"")</f>
        <v/>
      </c>
    </row>
    <row r="30" customFormat="false" ht="15" hidden="false" customHeight="false" outlineLevel="0" collapsed="false">
      <c r="P30" s="3" t="str">
        <f aca="false">IF(AND($A30="funding",ISNUMBER($D30)),$D30,"")</f>
        <v/>
      </c>
    </row>
    <row r="31" customFormat="false" ht="15" hidden="false" customHeight="false" outlineLevel="0" collapsed="false">
      <c r="P31" s="3" t="str">
        <f aca="false">IF(AND($A31="funding",ISNUMBER($D31)),$D31,"")</f>
        <v/>
      </c>
    </row>
    <row r="32" customFormat="false" ht="15" hidden="false" customHeight="false" outlineLevel="0" collapsed="false">
      <c r="P32" s="3" t="str">
        <f aca="false">IF(AND($A32="funding",ISNUMBER($D32)),$D32,"")</f>
        <v/>
      </c>
    </row>
    <row r="33" customFormat="false" ht="15" hidden="false" customHeight="false" outlineLevel="0" collapsed="false">
      <c r="P33" s="3" t="str">
        <f aca="false">IF(AND($A33="funding",ISNUMBER($D33)),$D33,"")</f>
        <v/>
      </c>
    </row>
    <row r="34" customFormat="false" ht="15" hidden="false" customHeight="false" outlineLevel="0" collapsed="false">
      <c r="P34" s="3" t="str">
        <f aca="false">IF(AND($A34="funding",ISNUMBER($D34)),$D34,"")</f>
        <v/>
      </c>
    </row>
    <row r="35" customFormat="false" ht="15" hidden="false" customHeight="false" outlineLevel="0" collapsed="false">
      <c r="P35" s="3" t="str">
        <f aca="false">IF(AND($A35="funding",ISNUMBER($D35)),$D35,"")</f>
        <v/>
      </c>
    </row>
    <row r="36" customFormat="false" ht="15" hidden="false" customHeight="false" outlineLevel="0" collapsed="false">
      <c r="P36" s="3" t="str">
        <f aca="false">IF(AND($A36="funding",ISNUMBER($D36)),$D36,"")</f>
        <v/>
      </c>
    </row>
    <row r="37" customFormat="false" ht="15" hidden="false" customHeight="false" outlineLevel="0" collapsed="false">
      <c r="P37" s="3" t="str">
        <f aca="false">IF(AND($A37="funding",ISNUMBER($D37)),$D37,"")</f>
        <v/>
      </c>
    </row>
    <row r="38" customFormat="false" ht="15" hidden="false" customHeight="false" outlineLevel="0" collapsed="false">
      <c r="P38" s="3" t="str">
        <f aca="false">IF(AND($A38="funding",ISNUMBER($D38)),$D38,"")</f>
        <v/>
      </c>
    </row>
    <row r="39" customFormat="false" ht="15" hidden="false" customHeight="false" outlineLevel="0" collapsed="false">
      <c r="P39" s="3" t="str">
        <f aca="false">IF(AND($A39="funding",ISNUMBER($D39)),$D39,"")</f>
        <v/>
      </c>
    </row>
    <row r="40" customFormat="false" ht="15" hidden="false" customHeight="false" outlineLevel="0" collapsed="false">
      <c r="P40" s="3" t="str">
        <f aca="false">IF(AND($A40="funding",ISNUMBER($D40)),$D40,"")</f>
        <v/>
      </c>
    </row>
    <row r="41" customFormat="false" ht="15" hidden="false" customHeight="false" outlineLevel="0" collapsed="false">
      <c r="P41" s="3" t="str">
        <f aca="false">IF(AND($A41="funding",ISNUMBER($D41)),$D41,"")</f>
        <v/>
      </c>
    </row>
    <row r="42" customFormat="false" ht="15" hidden="false" customHeight="false" outlineLevel="0" collapsed="false">
      <c r="P42" s="3" t="str">
        <f aca="false">IF(AND($A42="funding",ISNUMBER($D42)),$D42,"")</f>
        <v/>
      </c>
    </row>
    <row r="43" customFormat="false" ht="15" hidden="false" customHeight="false" outlineLevel="0" collapsed="false">
      <c r="P43" s="3" t="str">
        <f aca="false">IF(AND($A43="funding",ISNUMBER($D43)),$D43,"")</f>
        <v/>
      </c>
    </row>
    <row r="44" customFormat="false" ht="15" hidden="false" customHeight="false" outlineLevel="0" collapsed="false">
      <c r="P44" s="3" t="str">
        <f aca="false">IF(AND($A44="funding",ISNUMBER($D44)),$D44,"")</f>
        <v/>
      </c>
    </row>
    <row r="45" customFormat="false" ht="15" hidden="false" customHeight="false" outlineLevel="0" collapsed="false">
      <c r="P45" s="3" t="str">
        <f aca="false">IF(AND($A45="funding",ISNUMBER($D45)),$D45,"")</f>
        <v/>
      </c>
    </row>
    <row r="46" customFormat="false" ht="15" hidden="false" customHeight="false" outlineLevel="0" collapsed="false">
      <c r="P46" s="3" t="str">
        <f aca="false">IF(AND($A46="funding",ISNUMBER($D46)),$D46,"")</f>
        <v/>
      </c>
    </row>
    <row r="47" customFormat="false" ht="15" hidden="false" customHeight="false" outlineLevel="0" collapsed="false">
      <c r="P47" s="3" t="str">
        <f aca="false">IF(AND($A47="funding",ISNUMBER($D47)),$D47,"")</f>
        <v/>
      </c>
    </row>
    <row r="48" customFormat="false" ht="15" hidden="false" customHeight="false" outlineLevel="0" collapsed="false">
      <c r="P48" s="3" t="str">
        <f aca="false">IF(AND($A48="funding",ISNUMBER($D48)),$D48,"")</f>
        <v/>
      </c>
    </row>
    <row r="49" customFormat="false" ht="15" hidden="false" customHeight="false" outlineLevel="0" collapsed="false">
      <c r="P49" s="3" t="str">
        <f aca="false">IF(AND($A49="funding",ISNUMBER($D49)),$D49,"")</f>
        <v/>
      </c>
    </row>
    <row r="50" customFormat="false" ht="15" hidden="false" customHeight="false" outlineLevel="0" collapsed="false">
      <c r="P50" s="3" t="str">
        <f aca="false">IF(AND($A50="funding",ISNUMBER($D50)),$D50,"")</f>
        <v/>
      </c>
    </row>
    <row r="51" customFormat="false" ht="15" hidden="false" customHeight="false" outlineLevel="0" collapsed="false">
      <c r="P51" s="3" t="str">
        <f aca="false">IF(AND($A51="funding",ISNUMBER($D51)),$D51,"")</f>
        <v/>
      </c>
    </row>
    <row r="52" customFormat="false" ht="15" hidden="false" customHeight="false" outlineLevel="0" collapsed="false">
      <c r="P52" s="3" t="str">
        <f aca="false">IF(AND($A52="funding",ISNUMBER($D52)),$D52,"")</f>
        <v/>
      </c>
    </row>
    <row r="53" customFormat="false" ht="15" hidden="false" customHeight="false" outlineLevel="0" collapsed="false">
      <c r="P53" s="3" t="str">
        <f aca="false">IF(AND($A53="funding",ISNUMBER($D53)),$D53,"")</f>
        <v/>
      </c>
    </row>
    <row r="54" customFormat="false" ht="15" hidden="false" customHeight="false" outlineLevel="0" collapsed="false">
      <c r="P54" s="3" t="str">
        <f aca="false">IF(AND($A54="funding",ISNUMBER($D54)),$D54,"")</f>
        <v/>
      </c>
    </row>
    <row r="55" customFormat="false" ht="15" hidden="false" customHeight="false" outlineLevel="0" collapsed="false">
      <c r="P55" s="3" t="str">
        <f aca="false">IF(AND($A55="funding",ISNUMBER($D55)),$D55,"")</f>
        <v/>
      </c>
    </row>
    <row r="56" customFormat="false" ht="15" hidden="false" customHeight="false" outlineLevel="0" collapsed="false">
      <c r="P56" s="3" t="str">
        <f aca="false">IF(AND($A56="funding",ISNUMBER($D56)),$D56,"")</f>
        <v/>
      </c>
    </row>
    <row r="57" customFormat="false" ht="15" hidden="false" customHeight="false" outlineLevel="0" collapsed="false">
      <c r="P57" s="3" t="str">
        <f aca="false">IF(AND($A57="funding",ISNUMBER($D57)),$D57,"")</f>
        <v/>
      </c>
    </row>
    <row r="58" customFormat="false" ht="15" hidden="false" customHeight="false" outlineLevel="0" collapsed="false">
      <c r="P58" s="3" t="str">
        <f aca="false">IF(AND($A58="funding",ISNUMBER($D58)),$D58,"")</f>
        <v/>
      </c>
    </row>
    <row r="59" customFormat="false" ht="15" hidden="false" customHeight="false" outlineLevel="0" collapsed="false">
      <c r="P59" s="3" t="str">
        <f aca="false">IF(AND($A59="funding",ISNUMBER($D59)),$D59,"")</f>
        <v/>
      </c>
    </row>
    <row r="60" customFormat="false" ht="15" hidden="false" customHeight="false" outlineLevel="0" collapsed="false">
      <c r="P60" s="3" t="str">
        <f aca="false">IF(AND($A60="funding",ISNUMBER($D60)),$D60,"")</f>
        <v/>
      </c>
    </row>
    <row r="61" customFormat="false" ht="15" hidden="false" customHeight="false" outlineLevel="0" collapsed="false">
      <c r="P61" s="3" t="str">
        <f aca="false">IF(AND($A61="funding",ISNUMBER($D61)),$D61,"")</f>
        <v/>
      </c>
    </row>
    <row r="62" customFormat="false" ht="15" hidden="false" customHeight="false" outlineLevel="0" collapsed="false">
      <c r="P62" s="3" t="str">
        <f aca="false">IF(AND($A62="funding",ISNUMBER($D62)),$D62,"")</f>
        <v/>
      </c>
    </row>
    <row r="63" customFormat="false" ht="15" hidden="false" customHeight="false" outlineLevel="0" collapsed="false">
      <c r="P63" s="3" t="str">
        <f aca="false">IF(AND($A63="funding",ISNUMBER($D63)),$D63,"")</f>
        <v/>
      </c>
    </row>
    <row r="64" customFormat="false" ht="15" hidden="false" customHeight="false" outlineLevel="0" collapsed="false">
      <c r="P64" s="3" t="str">
        <f aca="false">IF(AND($A64="funding",ISNUMBER($D64)),$D64,"")</f>
        <v/>
      </c>
    </row>
    <row r="65" customFormat="false" ht="15" hidden="false" customHeight="false" outlineLevel="0" collapsed="false">
      <c r="P65" s="3" t="str">
        <f aca="false">IF(AND($A65="funding",ISNUMBER($D65)),$D65,"")</f>
        <v/>
      </c>
    </row>
    <row r="66" customFormat="false" ht="15" hidden="false" customHeight="false" outlineLevel="0" collapsed="false">
      <c r="P66" s="3" t="str">
        <f aca="false">IF(AND($A66="funding",ISNUMBER($D66)),$D66,"")</f>
        <v/>
      </c>
    </row>
    <row r="67" customFormat="false" ht="15" hidden="false" customHeight="false" outlineLevel="0" collapsed="false">
      <c r="P67" s="3" t="str">
        <f aca="false">IF(AND($A67="funding",ISNUMBER($D67)),$D67,"")</f>
        <v/>
      </c>
    </row>
    <row r="68" customFormat="false" ht="15" hidden="false" customHeight="false" outlineLevel="0" collapsed="false">
      <c r="P68" s="3" t="str">
        <f aca="false">IF(AND($A68="funding",ISNUMBER($D68)),$D68,"")</f>
        <v/>
      </c>
    </row>
    <row r="69" customFormat="false" ht="15" hidden="false" customHeight="false" outlineLevel="0" collapsed="false">
      <c r="P69" s="3" t="str">
        <f aca="false">IF(AND($A69="funding",ISNUMBER($D69)),$D69,"")</f>
        <v/>
      </c>
    </row>
    <row r="70" customFormat="false" ht="15" hidden="false" customHeight="false" outlineLevel="0" collapsed="false">
      <c r="P70" s="3" t="str">
        <f aca="false">IF(AND($A70="funding",ISNUMBER($D70)),$D70,"")</f>
        <v/>
      </c>
    </row>
    <row r="71" customFormat="false" ht="15" hidden="false" customHeight="false" outlineLevel="0" collapsed="false">
      <c r="P71" s="3" t="str">
        <f aca="false">IF(AND($A71="funding",ISNUMBER($D71)),$D71,"")</f>
        <v/>
      </c>
    </row>
    <row r="72" customFormat="false" ht="15" hidden="false" customHeight="false" outlineLevel="0" collapsed="false">
      <c r="P72" s="3" t="str">
        <f aca="false">IF(AND($A72="funding",ISNUMBER($D72)),$D72,"")</f>
        <v/>
      </c>
    </row>
    <row r="73" customFormat="false" ht="15" hidden="false" customHeight="false" outlineLevel="0" collapsed="false">
      <c r="P73" s="3" t="str">
        <f aca="false">IF(AND($A73="funding",ISNUMBER($D73)),$D73,"")</f>
        <v/>
      </c>
    </row>
    <row r="74" customFormat="false" ht="15" hidden="false" customHeight="false" outlineLevel="0" collapsed="false">
      <c r="P74" s="3" t="str">
        <f aca="false">IF(AND($A74="funding",ISNUMBER($D74)),$D74,"")</f>
        <v/>
      </c>
    </row>
    <row r="75" customFormat="false" ht="15" hidden="false" customHeight="false" outlineLevel="0" collapsed="false">
      <c r="P75" s="3" t="str">
        <f aca="false">IF(AND($A75="funding",ISNUMBER($D75)),$D75,"")</f>
        <v/>
      </c>
    </row>
    <row r="76" customFormat="false" ht="15" hidden="false" customHeight="false" outlineLevel="0" collapsed="false">
      <c r="P76" s="3" t="str">
        <f aca="false">IF(AND($A76="funding",ISNUMBER($D76)),$D76,"")</f>
        <v/>
      </c>
    </row>
    <row r="77" customFormat="false" ht="15" hidden="false" customHeight="false" outlineLevel="0" collapsed="false">
      <c r="P77" s="3" t="str">
        <f aca="false">IF(AND($A77="funding",ISNUMBER($D77)),$D77,"")</f>
        <v/>
      </c>
    </row>
    <row r="78" customFormat="false" ht="15" hidden="false" customHeight="false" outlineLevel="0" collapsed="false">
      <c r="P78" s="3" t="str">
        <f aca="false">IF(AND($A78="funding",ISNUMBER($D78)),$D78,"")</f>
        <v/>
      </c>
    </row>
    <row r="79" customFormat="false" ht="15" hidden="false" customHeight="false" outlineLevel="0" collapsed="false">
      <c r="P79" s="3" t="str">
        <f aca="false">IF(AND($A79="funding",ISNUMBER($D79)),$D79,"")</f>
        <v/>
      </c>
    </row>
    <row r="80" customFormat="false" ht="15" hidden="false" customHeight="false" outlineLevel="0" collapsed="false">
      <c r="P80" s="3" t="str">
        <f aca="false">IF(AND($A80="funding",ISNUMBER($D80)),$D80,"")</f>
        <v/>
      </c>
    </row>
    <row r="81" customFormat="false" ht="15" hidden="false" customHeight="false" outlineLevel="0" collapsed="false">
      <c r="P81" s="3" t="str">
        <f aca="false">IF(AND($A81="funding",ISNUMBER($D81)),$D81,"")</f>
        <v/>
      </c>
    </row>
    <row r="82" customFormat="false" ht="15" hidden="false" customHeight="false" outlineLevel="0" collapsed="false">
      <c r="P82" s="3" t="str">
        <f aca="false">IF(AND($A82="funding",ISNUMBER($D82)),$D82,"")</f>
        <v/>
      </c>
    </row>
    <row r="83" customFormat="false" ht="15" hidden="false" customHeight="false" outlineLevel="0" collapsed="false">
      <c r="P83" s="3" t="str">
        <f aca="false">IF(AND($A83="funding",ISNUMBER($D83)),$D83,"")</f>
        <v/>
      </c>
    </row>
    <row r="84" customFormat="false" ht="15" hidden="false" customHeight="false" outlineLevel="0" collapsed="false">
      <c r="P84" s="3" t="str">
        <f aca="false">IF(AND($A84="funding",ISNUMBER($D84)),$D84,"")</f>
        <v/>
      </c>
    </row>
    <row r="85" customFormat="false" ht="15" hidden="false" customHeight="false" outlineLevel="0" collapsed="false">
      <c r="P85" s="3" t="str">
        <f aca="false">IF(AND($A85="funding",ISNUMBER($D85)),$D85,"")</f>
        <v/>
      </c>
    </row>
    <row r="86" customFormat="false" ht="15" hidden="false" customHeight="false" outlineLevel="0" collapsed="false">
      <c r="P86" s="3" t="str">
        <f aca="false">IF(AND($A86="funding",ISNUMBER($D86)),$D86,"")</f>
        <v/>
      </c>
    </row>
    <row r="87" customFormat="false" ht="15" hidden="false" customHeight="false" outlineLevel="0" collapsed="false">
      <c r="P87" s="3" t="str">
        <f aca="false">IF(AND($A87="funding",ISNUMBER($D87)),$D87,"")</f>
        <v/>
      </c>
    </row>
    <row r="88" customFormat="false" ht="15" hidden="false" customHeight="false" outlineLevel="0" collapsed="false">
      <c r="P88" s="3" t="str">
        <f aca="false">IF(AND($A88="funding",ISNUMBER($D88)),$D88,"")</f>
        <v/>
      </c>
    </row>
    <row r="89" customFormat="false" ht="15" hidden="false" customHeight="false" outlineLevel="0" collapsed="false">
      <c r="P89" s="3" t="str">
        <f aca="false">IF(AND($A89="funding",ISNUMBER($D89)),$D89,"")</f>
        <v/>
      </c>
    </row>
    <row r="90" customFormat="false" ht="15" hidden="false" customHeight="false" outlineLevel="0" collapsed="false">
      <c r="P90" s="3" t="str">
        <f aca="false">IF(AND($A90="funding",ISNUMBER($D90)),$D90,"")</f>
        <v/>
      </c>
    </row>
    <row r="91" customFormat="false" ht="15" hidden="false" customHeight="false" outlineLevel="0" collapsed="false">
      <c r="P91" s="3" t="str">
        <f aca="false">IF(AND($A91="funding",ISNUMBER($D91)),$D91,"")</f>
        <v/>
      </c>
    </row>
    <row r="92" customFormat="false" ht="15" hidden="false" customHeight="false" outlineLevel="0" collapsed="false">
      <c r="P92" s="3" t="str">
        <f aca="false">IF(AND($A92="funding",ISNUMBER($D92)),$D92,"")</f>
        <v/>
      </c>
    </row>
    <row r="93" customFormat="false" ht="15" hidden="false" customHeight="false" outlineLevel="0" collapsed="false">
      <c r="P93" s="3" t="str">
        <f aca="false">IF(AND($A93="funding",ISNUMBER($D93)),$D93,"")</f>
        <v/>
      </c>
    </row>
    <row r="94" customFormat="false" ht="15" hidden="false" customHeight="false" outlineLevel="0" collapsed="false">
      <c r="P94" s="3" t="str">
        <f aca="false">IF(AND($A94="funding",ISNUMBER($D94)),$D94,"")</f>
        <v/>
      </c>
    </row>
    <row r="95" customFormat="false" ht="15" hidden="false" customHeight="false" outlineLevel="0" collapsed="false">
      <c r="P95" s="3" t="str">
        <f aca="false">IF(AND($A95="funding",ISNUMBER($D95)),$D95,"")</f>
        <v/>
      </c>
    </row>
    <row r="96" customFormat="false" ht="15" hidden="false" customHeight="false" outlineLevel="0" collapsed="false">
      <c r="P96" s="3" t="str">
        <f aca="false">IF(AND($A96="funding",ISNUMBER($D96)),$D96,"")</f>
        <v/>
      </c>
    </row>
    <row r="97" customFormat="false" ht="15" hidden="false" customHeight="false" outlineLevel="0" collapsed="false">
      <c r="P97" s="3" t="str">
        <f aca="false">IF(AND($A97="funding",ISNUMBER($D97)),$D97,"")</f>
        <v/>
      </c>
    </row>
    <row r="98" customFormat="false" ht="15" hidden="false" customHeight="false" outlineLevel="0" collapsed="false">
      <c r="P98" s="3" t="str">
        <f aca="false">IF(AND($A98="funding",ISNUMBER($D98)),$D98,"")</f>
        <v/>
      </c>
    </row>
    <row r="99" customFormat="false" ht="15" hidden="false" customHeight="false" outlineLevel="0" collapsed="false">
      <c r="P99" s="3" t="str">
        <f aca="false">IF(AND($A99="funding",ISNUMBER($D99)),$D99,"")</f>
        <v/>
      </c>
    </row>
    <row r="100" customFormat="false" ht="15" hidden="false" customHeight="false" outlineLevel="0" collapsed="false">
      <c r="P100" s="3" t="str">
        <f aca="false">IF(AND($A100="funding",ISNUMBER($D100)),$D100,"")</f>
        <v/>
      </c>
    </row>
    <row r="101" customFormat="false" ht="15" hidden="false" customHeight="false" outlineLevel="0" collapsed="false">
      <c r="P101" s="3" t="str">
        <f aca="false">IF(AND($A101="funding",ISNUMBER($D101)),$D101,"")</f>
        <v/>
      </c>
    </row>
    <row r="102" customFormat="false" ht="15" hidden="false" customHeight="false" outlineLevel="0" collapsed="false">
      <c r="P102" s="3" t="str">
        <f aca="false">IF(AND($A102="funding",ISNUMBER($D102)),$D102,"")</f>
        <v/>
      </c>
    </row>
    <row r="103" customFormat="false" ht="15" hidden="false" customHeight="false" outlineLevel="0" collapsed="false">
      <c r="P103" s="3" t="str">
        <f aca="false">IF(AND($A103="funding",ISNUMBER($D103)),$D103,"")</f>
        <v/>
      </c>
    </row>
    <row r="104" customFormat="false" ht="15" hidden="false" customHeight="false" outlineLevel="0" collapsed="false">
      <c r="P104" s="3" t="str">
        <f aca="false">IF(AND($A104="funding",ISNUMBER($D104)),$D104,"")</f>
        <v/>
      </c>
    </row>
    <row r="105" customFormat="false" ht="15" hidden="false" customHeight="false" outlineLevel="0" collapsed="false">
      <c r="P105" s="3" t="str">
        <f aca="false">IF(AND($A105="funding",ISNUMBER($D105)),$D105,"")</f>
        <v/>
      </c>
    </row>
    <row r="106" customFormat="false" ht="15" hidden="false" customHeight="false" outlineLevel="0" collapsed="false">
      <c r="P106" s="3" t="str">
        <f aca="false">IF(AND($A106="funding",ISNUMBER($D106)),$D106,"")</f>
        <v/>
      </c>
    </row>
    <row r="107" customFormat="false" ht="15" hidden="false" customHeight="false" outlineLevel="0" collapsed="false">
      <c r="P107" s="3" t="str">
        <f aca="false">IF(AND($A107="funding",ISNUMBER($D107)),$D107,"")</f>
        <v/>
      </c>
    </row>
    <row r="108" customFormat="false" ht="15" hidden="false" customHeight="false" outlineLevel="0" collapsed="false">
      <c r="P108" s="3" t="str">
        <f aca="false">IF(AND($A108="funding",ISNUMBER($D108)),$D108,"")</f>
        <v/>
      </c>
    </row>
    <row r="109" customFormat="false" ht="15" hidden="false" customHeight="false" outlineLevel="0" collapsed="false">
      <c r="P109" s="3" t="str">
        <f aca="false">IF(AND($A109="funding",ISNUMBER($D109)),$D109,"")</f>
        <v/>
      </c>
    </row>
    <row r="110" customFormat="false" ht="15" hidden="false" customHeight="false" outlineLevel="0" collapsed="false">
      <c r="P110" s="3" t="str">
        <f aca="false">IF(AND($A110="funding",ISNUMBER($D110)),$D110,"")</f>
        <v/>
      </c>
    </row>
    <row r="111" customFormat="false" ht="15" hidden="false" customHeight="false" outlineLevel="0" collapsed="false">
      <c r="P111" s="3" t="str">
        <f aca="false">IF(AND($A111="funding",ISNUMBER($D111)),$D111,"")</f>
        <v/>
      </c>
    </row>
    <row r="112" customFormat="false" ht="15" hidden="false" customHeight="false" outlineLevel="0" collapsed="false">
      <c r="P112" s="3" t="str">
        <f aca="false">IF(AND($A112="funding",ISNUMBER($D112)),$D112,"")</f>
        <v/>
      </c>
    </row>
    <row r="113" customFormat="false" ht="15" hidden="false" customHeight="false" outlineLevel="0" collapsed="false">
      <c r="P113" s="3" t="str">
        <f aca="false">IF(AND($A113="funding",ISNUMBER($D113)),$D113,"")</f>
        <v/>
      </c>
    </row>
    <row r="114" customFormat="false" ht="15" hidden="false" customHeight="false" outlineLevel="0" collapsed="false">
      <c r="P114" s="3" t="str">
        <f aca="false">IF(AND($A114="funding",ISNUMBER($D114)),$D114,"")</f>
        <v/>
      </c>
    </row>
    <row r="115" customFormat="false" ht="15" hidden="false" customHeight="false" outlineLevel="0" collapsed="false">
      <c r="P115" s="3" t="str">
        <f aca="false">IF(AND($A115="funding",ISNUMBER($D115)),$D115,"")</f>
        <v/>
      </c>
    </row>
    <row r="116" customFormat="false" ht="15" hidden="false" customHeight="false" outlineLevel="0" collapsed="false">
      <c r="P116" s="3" t="str">
        <f aca="false">IF(AND($A116="funding",ISNUMBER($D116)),$D116,"")</f>
        <v/>
      </c>
    </row>
    <row r="117" customFormat="false" ht="15" hidden="false" customHeight="false" outlineLevel="0" collapsed="false">
      <c r="P117" s="3" t="str">
        <f aca="false">IF(AND($A117="funding",ISNUMBER($D117)),$D117,"")</f>
        <v/>
      </c>
    </row>
    <row r="118" customFormat="false" ht="15" hidden="false" customHeight="false" outlineLevel="0" collapsed="false">
      <c r="P118" s="3" t="str">
        <f aca="false">IF(AND($A118="funding",ISNUMBER($D118)),$D118,"")</f>
        <v/>
      </c>
    </row>
    <row r="119" customFormat="false" ht="15" hidden="false" customHeight="false" outlineLevel="0" collapsed="false">
      <c r="P119" s="3" t="str">
        <f aca="false">IF(AND($A119="funding",ISNUMBER($D119)),$D119,"")</f>
        <v/>
      </c>
    </row>
    <row r="120" customFormat="false" ht="15" hidden="false" customHeight="false" outlineLevel="0" collapsed="false">
      <c r="P120" s="3" t="str">
        <f aca="false">IF(AND($A120="funding",ISNUMBER($D120)),$D120,"")</f>
        <v/>
      </c>
    </row>
    <row r="121" customFormat="false" ht="15" hidden="false" customHeight="false" outlineLevel="0" collapsed="false">
      <c r="P121" s="3" t="str">
        <f aca="false">IF(AND($A121="funding",ISNUMBER($D121)),$D121,"")</f>
        <v/>
      </c>
    </row>
    <row r="122" customFormat="false" ht="15" hidden="false" customHeight="false" outlineLevel="0" collapsed="false">
      <c r="P122" s="3" t="str">
        <f aca="false">IF(AND($A122="funding",ISNUMBER($D122)),$D122,"")</f>
        <v/>
      </c>
    </row>
    <row r="123" customFormat="false" ht="15" hidden="false" customHeight="false" outlineLevel="0" collapsed="false">
      <c r="P123" s="3" t="str">
        <f aca="false">IF(AND($A123="funding",ISNUMBER($D123)),$D123,"")</f>
        <v/>
      </c>
    </row>
    <row r="124" customFormat="false" ht="15" hidden="false" customHeight="false" outlineLevel="0" collapsed="false">
      <c r="P124" s="3" t="str">
        <f aca="false">IF(AND($A124="funding",ISNUMBER($D124)),$D124,"")</f>
        <v/>
      </c>
    </row>
    <row r="125" customFormat="false" ht="15" hidden="false" customHeight="false" outlineLevel="0" collapsed="false">
      <c r="P125" s="3" t="str">
        <f aca="false">IF(AND($A125="funding",ISNUMBER($D125)),$D125,"")</f>
        <v/>
      </c>
    </row>
    <row r="126" customFormat="false" ht="15" hidden="false" customHeight="false" outlineLevel="0" collapsed="false">
      <c r="P126" s="3" t="str">
        <f aca="false">IF(AND($A126="funding",ISNUMBER($D126)),$D126,"")</f>
        <v/>
      </c>
    </row>
    <row r="127" customFormat="false" ht="15" hidden="false" customHeight="false" outlineLevel="0" collapsed="false">
      <c r="P127" s="3" t="str">
        <f aca="false">IF(AND($A127="funding",ISNUMBER($D127)),$D127,"")</f>
        <v/>
      </c>
    </row>
    <row r="128" customFormat="false" ht="15" hidden="false" customHeight="false" outlineLevel="0" collapsed="false">
      <c r="P128" s="3" t="str">
        <f aca="false">IF(AND($A128="funding",ISNUMBER($D128)),$D128,"")</f>
        <v/>
      </c>
    </row>
    <row r="129" customFormat="false" ht="15" hidden="false" customHeight="false" outlineLevel="0" collapsed="false">
      <c r="P129" s="3" t="str">
        <f aca="false">IF(AND($A129="funding",ISNUMBER($D129)),$D129,"")</f>
        <v/>
      </c>
    </row>
    <row r="130" customFormat="false" ht="15" hidden="false" customHeight="false" outlineLevel="0" collapsed="false">
      <c r="P130" s="3" t="str">
        <f aca="false">IF(AND($A130="funding",ISNUMBER($D130)),$D130,"")</f>
        <v/>
      </c>
    </row>
    <row r="131" customFormat="false" ht="15" hidden="false" customHeight="false" outlineLevel="0" collapsed="false">
      <c r="P131" s="3" t="str">
        <f aca="false">IF(AND($A131="funding",ISNUMBER($D131)),$D131,"")</f>
        <v/>
      </c>
    </row>
    <row r="132" customFormat="false" ht="15" hidden="false" customHeight="false" outlineLevel="0" collapsed="false">
      <c r="P132" s="3" t="str">
        <f aca="false">IF(AND($A132="funding",ISNUMBER($D132)),$D132,"")</f>
        <v/>
      </c>
    </row>
    <row r="133" customFormat="false" ht="15" hidden="false" customHeight="false" outlineLevel="0" collapsed="false">
      <c r="P133" s="3" t="str">
        <f aca="false">IF(AND($A133="funding",ISNUMBER($D133)),$D133,"")</f>
        <v/>
      </c>
    </row>
    <row r="134" customFormat="false" ht="15" hidden="false" customHeight="false" outlineLevel="0" collapsed="false">
      <c r="P134" s="3" t="str">
        <f aca="false">IF(AND($A134="funding",ISNUMBER($D134)),$D134,"")</f>
        <v/>
      </c>
    </row>
    <row r="135" customFormat="false" ht="15" hidden="false" customHeight="false" outlineLevel="0" collapsed="false">
      <c r="P135" s="3" t="str">
        <f aca="false">IF(AND($A135="funding",ISNUMBER($D135)),$D135,"")</f>
        <v/>
      </c>
    </row>
    <row r="136" customFormat="false" ht="15" hidden="false" customHeight="false" outlineLevel="0" collapsed="false">
      <c r="P136" s="3" t="str">
        <f aca="false">IF(AND($A136="funding",ISNUMBER($D136)),$D136,"")</f>
        <v/>
      </c>
    </row>
    <row r="137" customFormat="false" ht="15" hidden="false" customHeight="false" outlineLevel="0" collapsed="false">
      <c r="P137" s="3" t="str">
        <f aca="false">IF(AND($A137="funding",ISNUMBER($D137)),$D137,"")</f>
        <v/>
      </c>
    </row>
    <row r="138" customFormat="false" ht="15" hidden="false" customHeight="false" outlineLevel="0" collapsed="false">
      <c r="P138" s="3" t="str">
        <f aca="false">IF(AND($A138="funding",ISNUMBER($D138)),$D138,"")</f>
        <v/>
      </c>
    </row>
    <row r="139" customFormat="false" ht="15" hidden="false" customHeight="false" outlineLevel="0" collapsed="false">
      <c r="P139" s="3" t="str">
        <f aca="false">IF(AND($A139="funding",ISNUMBER($D139)),$D139,"")</f>
        <v/>
      </c>
    </row>
    <row r="140" customFormat="false" ht="15" hidden="false" customHeight="false" outlineLevel="0" collapsed="false">
      <c r="P140" s="3" t="str">
        <f aca="false">IF(AND($A140="funding",ISNUMBER($D140)),$D140,"")</f>
        <v/>
      </c>
    </row>
    <row r="141" customFormat="false" ht="15" hidden="false" customHeight="false" outlineLevel="0" collapsed="false">
      <c r="P141" s="3" t="str">
        <f aca="false">IF(AND($A141="funding",ISNUMBER($D141)),$D141,"")</f>
        <v/>
      </c>
    </row>
    <row r="142" customFormat="false" ht="15" hidden="false" customHeight="false" outlineLevel="0" collapsed="false">
      <c r="P142" s="3" t="str">
        <f aca="false">IF(AND($A142="funding",ISNUMBER($D142)),$D142,"")</f>
        <v/>
      </c>
    </row>
    <row r="143" customFormat="false" ht="15" hidden="false" customHeight="false" outlineLevel="0" collapsed="false">
      <c r="P143" s="3" t="str">
        <f aca="false">IF(AND($A143="funding",ISNUMBER($D143)),$D143,"")</f>
        <v/>
      </c>
    </row>
    <row r="144" customFormat="false" ht="15" hidden="false" customHeight="false" outlineLevel="0" collapsed="false">
      <c r="P144" s="3" t="str">
        <f aca="false">IF(AND($A144="funding",ISNUMBER($D144)),$D144,"")</f>
        <v/>
      </c>
    </row>
    <row r="145" customFormat="false" ht="15" hidden="false" customHeight="false" outlineLevel="0" collapsed="false">
      <c r="P145" s="3" t="str">
        <f aca="false">IF(AND($A145="funding",ISNUMBER($D145)),$D145,"")</f>
        <v/>
      </c>
    </row>
    <row r="146" customFormat="false" ht="15" hidden="false" customHeight="false" outlineLevel="0" collapsed="false">
      <c r="P146" s="3" t="str">
        <f aca="false">IF(AND($A146="funding",ISNUMBER($D146)),$D146,"")</f>
        <v/>
      </c>
    </row>
    <row r="147" customFormat="false" ht="15" hidden="false" customHeight="false" outlineLevel="0" collapsed="false">
      <c r="P147" s="3" t="str">
        <f aca="false">IF(AND($A147="funding",ISNUMBER($D147)),$D147,"")</f>
        <v/>
      </c>
    </row>
    <row r="148" customFormat="false" ht="15" hidden="false" customHeight="false" outlineLevel="0" collapsed="false">
      <c r="P148" s="3" t="str">
        <f aca="false">IF(AND($A148="funding",ISNUMBER($D148)),$D148,"")</f>
        <v/>
      </c>
    </row>
    <row r="149" customFormat="false" ht="15" hidden="false" customHeight="false" outlineLevel="0" collapsed="false">
      <c r="P149" s="3" t="str">
        <f aca="false">IF(AND($A149="funding",ISNUMBER($D149)),$D149,"")</f>
        <v/>
      </c>
    </row>
    <row r="150" customFormat="false" ht="15" hidden="false" customHeight="false" outlineLevel="0" collapsed="false">
      <c r="P150" s="3" t="str">
        <f aca="false">IF(AND($A150="funding",ISNUMBER($D150)),$D150,"")</f>
        <v/>
      </c>
    </row>
    <row r="151" customFormat="false" ht="15" hidden="false" customHeight="false" outlineLevel="0" collapsed="false">
      <c r="P151" s="3" t="str">
        <f aca="false">IF(AND($A151="funding",ISNUMBER($D151)),$D151,"")</f>
        <v/>
      </c>
    </row>
    <row r="152" customFormat="false" ht="15" hidden="false" customHeight="false" outlineLevel="0" collapsed="false">
      <c r="P152" s="3" t="str">
        <f aca="false">IF(AND($A152="funding",ISNUMBER($D152)),$D152,"")</f>
        <v/>
      </c>
    </row>
    <row r="153" customFormat="false" ht="15" hidden="false" customHeight="false" outlineLevel="0" collapsed="false">
      <c r="P153" s="3" t="str">
        <f aca="false">IF(AND($A153="funding",ISNUMBER($D153)),$D153,"")</f>
        <v/>
      </c>
    </row>
    <row r="154" customFormat="false" ht="15" hidden="false" customHeight="false" outlineLevel="0" collapsed="false">
      <c r="P154" s="3" t="str">
        <f aca="false">IF(AND($A154="funding",ISNUMBER($D154)),$D154,"")</f>
        <v/>
      </c>
    </row>
    <row r="155" customFormat="false" ht="15" hidden="false" customHeight="false" outlineLevel="0" collapsed="false">
      <c r="P155" s="3" t="str">
        <f aca="false">IF(AND($A155="funding",ISNUMBER($D155)),$D155,"")</f>
        <v/>
      </c>
    </row>
    <row r="156" customFormat="false" ht="15" hidden="false" customHeight="false" outlineLevel="0" collapsed="false">
      <c r="P156" s="3" t="str">
        <f aca="false">IF(AND($A156="funding",ISNUMBER($D156)),$D156,"")</f>
        <v/>
      </c>
    </row>
    <row r="157" customFormat="false" ht="15" hidden="false" customHeight="false" outlineLevel="0" collapsed="false">
      <c r="P157" s="3" t="str">
        <f aca="false">IF(AND($A157="funding",ISNUMBER($D157)),$D157,"")</f>
        <v/>
      </c>
    </row>
    <row r="158" customFormat="false" ht="15" hidden="false" customHeight="false" outlineLevel="0" collapsed="false">
      <c r="P158" s="3" t="str">
        <f aca="false">IF(AND($A158="funding",ISNUMBER($D158)),$D158,"")</f>
        <v/>
      </c>
    </row>
    <row r="159" customFormat="false" ht="15" hidden="false" customHeight="false" outlineLevel="0" collapsed="false">
      <c r="P159" s="3" t="str">
        <f aca="false">IF(AND($A159="funding",ISNUMBER($D159)),$D159,"")</f>
        <v/>
      </c>
    </row>
    <row r="160" customFormat="false" ht="15" hidden="false" customHeight="false" outlineLevel="0" collapsed="false">
      <c r="P160" s="3" t="str">
        <f aca="false">IF(AND($A160="funding",ISNUMBER($D160)),$D160,"")</f>
        <v/>
      </c>
    </row>
    <row r="161" customFormat="false" ht="15" hidden="false" customHeight="false" outlineLevel="0" collapsed="false">
      <c r="P161" s="3" t="str">
        <f aca="false">IF(AND($A161="funding",ISNUMBER($D161)),$D161,"")</f>
        <v/>
      </c>
    </row>
    <row r="162" customFormat="false" ht="15" hidden="false" customHeight="false" outlineLevel="0" collapsed="false">
      <c r="P162" s="3" t="str">
        <f aca="false">IF(AND($A162="funding",ISNUMBER($D162)),$D162,"")</f>
        <v/>
      </c>
    </row>
    <row r="163" customFormat="false" ht="15" hidden="false" customHeight="false" outlineLevel="0" collapsed="false">
      <c r="P163" s="3" t="str">
        <f aca="false">IF(AND($A163="funding",ISNUMBER($D163)),$D163,"")</f>
        <v/>
      </c>
    </row>
    <row r="164" customFormat="false" ht="15" hidden="false" customHeight="false" outlineLevel="0" collapsed="false">
      <c r="P164" s="3" t="str">
        <f aca="false">IF(AND($A164="funding",ISNUMBER($D164)),$D164,"")</f>
        <v/>
      </c>
    </row>
    <row r="165" customFormat="false" ht="15" hidden="false" customHeight="false" outlineLevel="0" collapsed="false">
      <c r="P165" s="3" t="str">
        <f aca="false">IF(AND($A165="funding",ISNUMBER($D165)),$D165,"")</f>
        <v/>
      </c>
    </row>
    <row r="166" customFormat="false" ht="15" hidden="false" customHeight="false" outlineLevel="0" collapsed="false">
      <c r="P166" s="3" t="str">
        <f aca="false">IF(AND($A166="funding",ISNUMBER($D166)),$D166,"")</f>
        <v/>
      </c>
    </row>
    <row r="167" customFormat="false" ht="15" hidden="false" customHeight="false" outlineLevel="0" collapsed="false">
      <c r="P167" s="3" t="str">
        <f aca="false">IF(AND($A167="funding",ISNUMBER($D167)),$D167,"")</f>
        <v/>
      </c>
    </row>
    <row r="168" customFormat="false" ht="15" hidden="false" customHeight="false" outlineLevel="0" collapsed="false">
      <c r="P168" s="3" t="str">
        <f aca="false">IF(AND($A168="funding",ISNUMBER($D168)),$D168,"")</f>
        <v/>
      </c>
    </row>
    <row r="169" customFormat="false" ht="15" hidden="false" customHeight="false" outlineLevel="0" collapsed="false">
      <c r="P169" s="3" t="str">
        <f aca="false">IF(AND($A169="funding",ISNUMBER($D169)),$D169,"")</f>
        <v/>
      </c>
    </row>
    <row r="170" customFormat="false" ht="15" hidden="false" customHeight="false" outlineLevel="0" collapsed="false">
      <c r="P170" s="3" t="str">
        <f aca="false">IF(AND($A170="funding",ISNUMBER($D170)),$D170,"")</f>
        <v/>
      </c>
    </row>
    <row r="171" customFormat="false" ht="15" hidden="false" customHeight="false" outlineLevel="0" collapsed="false">
      <c r="P171" s="3" t="str">
        <f aca="false">IF(AND($A171="funding",ISNUMBER($D171)),$D171,"")</f>
        <v/>
      </c>
    </row>
    <row r="172" customFormat="false" ht="15" hidden="false" customHeight="false" outlineLevel="0" collapsed="false">
      <c r="P172" s="3" t="str">
        <f aca="false">IF(AND($A172="funding",ISNUMBER($D172)),$D172,"")</f>
        <v/>
      </c>
    </row>
    <row r="173" customFormat="false" ht="15" hidden="false" customHeight="false" outlineLevel="0" collapsed="false">
      <c r="P173" s="3" t="str">
        <f aca="false">IF(AND($A173="funding",ISNUMBER($D173)),$D173,"")</f>
        <v/>
      </c>
    </row>
    <row r="174" customFormat="false" ht="15" hidden="false" customHeight="false" outlineLevel="0" collapsed="false">
      <c r="P174" s="3" t="str">
        <f aca="false">IF(AND($A174="funding",ISNUMBER($D174)),$D174,"")</f>
        <v/>
      </c>
    </row>
    <row r="175" customFormat="false" ht="15" hidden="false" customHeight="false" outlineLevel="0" collapsed="false">
      <c r="P175" s="3" t="str">
        <f aca="false">IF(AND($A175="funding",ISNUMBER($D175)),$D175,"")</f>
        <v/>
      </c>
    </row>
    <row r="176" customFormat="false" ht="15" hidden="false" customHeight="false" outlineLevel="0" collapsed="false">
      <c r="P176" s="3" t="str">
        <f aca="false">IF(AND($A176="funding",ISNUMBER($D176)),$D176,"")</f>
        <v/>
      </c>
    </row>
    <row r="177" customFormat="false" ht="15" hidden="false" customHeight="false" outlineLevel="0" collapsed="false">
      <c r="P177" s="3" t="str">
        <f aca="false">IF(AND($A177="funding",ISNUMBER($D177)),$D177,"")</f>
        <v/>
      </c>
    </row>
    <row r="178" customFormat="false" ht="15" hidden="false" customHeight="false" outlineLevel="0" collapsed="false">
      <c r="P178" s="3" t="str">
        <f aca="false">IF(AND($A178="funding",ISNUMBER($D178)),$D178,"")</f>
        <v/>
      </c>
    </row>
    <row r="179" customFormat="false" ht="15" hidden="false" customHeight="false" outlineLevel="0" collapsed="false">
      <c r="P179" s="3" t="str">
        <f aca="false">IF(AND($A179="funding",ISNUMBER($D179)),$D179,"")</f>
        <v/>
      </c>
    </row>
    <row r="180" customFormat="false" ht="15" hidden="false" customHeight="false" outlineLevel="0" collapsed="false">
      <c r="P180" s="3" t="str">
        <f aca="false">IF(AND($A180="funding",ISNUMBER($D180)),$D180,"")</f>
        <v/>
      </c>
    </row>
    <row r="181" customFormat="false" ht="15" hidden="false" customHeight="false" outlineLevel="0" collapsed="false">
      <c r="P181" s="3" t="str">
        <f aca="false">IF(AND($A181="funding",ISNUMBER($D181)),$D181,"")</f>
        <v/>
      </c>
    </row>
    <row r="182" customFormat="false" ht="15" hidden="false" customHeight="false" outlineLevel="0" collapsed="false">
      <c r="P182" s="3" t="str">
        <f aca="false">IF(AND($A182="funding",ISNUMBER($D182)),$D182,"")</f>
        <v/>
      </c>
    </row>
    <row r="183" customFormat="false" ht="15" hidden="false" customHeight="false" outlineLevel="0" collapsed="false">
      <c r="P183" s="3" t="str">
        <f aca="false">IF(AND($A183="funding",ISNUMBER($D183)),$D183,"")</f>
        <v/>
      </c>
    </row>
    <row r="184" customFormat="false" ht="15" hidden="false" customHeight="false" outlineLevel="0" collapsed="false">
      <c r="P184" s="3" t="str">
        <f aca="false">IF(AND($A184="funding",ISNUMBER($D184)),$D184,"")</f>
        <v/>
      </c>
    </row>
    <row r="185" customFormat="false" ht="15" hidden="false" customHeight="false" outlineLevel="0" collapsed="false">
      <c r="P185" s="3" t="str">
        <f aca="false">IF(AND($A185="funding",ISNUMBER($D185)),$D185,"")</f>
        <v/>
      </c>
    </row>
    <row r="186" customFormat="false" ht="15" hidden="false" customHeight="false" outlineLevel="0" collapsed="false">
      <c r="P186" s="3" t="str">
        <f aca="false">IF(AND($A186="funding",ISNUMBER($D186)),$D186,"")</f>
        <v/>
      </c>
    </row>
    <row r="187" customFormat="false" ht="15" hidden="false" customHeight="false" outlineLevel="0" collapsed="false">
      <c r="P187" s="3" t="str">
        <f aca="false">IF(AND($A187="funding",ISNUMBER($D187)),$D187,"")</f>
        <v/>
      </c>
    </row>
    <row r="188" customFormat="false" ht="15" hidden="false" customHeight="false" outlineLevel="0" collapsed="false">
      <c r="P188" s="3" t="str">
        <f aca="false">IF(AND($A188="funding",ISNUMBER($D188)),$D188,"")</f>
        <v/>
      </c>
    </row>
    <row r="189" customFormat="false" ht="15" hidden="false" customHeight="false" outlineLevel="0" collapsed="false">
      <c r="P189" s="3" t="str">
        <f aca="false">IF(AND($A189="funding",ISNUMBER($D189)),$D189,"")</f>
        <v/>
      </c>
    </row>
    <row r="190" customFormat="false" ht="15" hidden="false" customHeight="false" outlineLevel="0" collapsed="false">
      <c r="P190" s="3" t="str">
        <f aca="false">IF(AND($A190="funding",ISNUMBER($D190)),$D190,"")</f>
        <v/>
      </c>
    </row>
    <row r="191" customFormat="false" ht="15" hidden="false" customHeight="false" outlineLevel="0" collapsed="false">
      <c r="P191" s="3" t="str">
        <f aca="false">IF(AND($A191="funding",ISNUMBER($D191)),$D191,"")</f>
        <v/>
      </c>
    </row>
    <row r="192" customFormat="false" ht="15" hidden="false" customHeight="false" outlineLevel="0" collapsed="false">
      <c r="P192" s="3" t="str">
        <f aca="false">IF(AND($A192="funding",ISNUMBER($D192)),$D192,"")</f>
        <v/>
      </c>
    </row>
    <row r="193" customFormat="false" ht="15" hidden="false" customHeight="false" outlineLevel="0" collapsed="false">
      <c r="P193" s="3" t="str">
        <f aca="false">IF(AND($A193="funding",ISNUMBER($D193)),$D193,"")</f>
        <v/>
      </c>
    </row>
    <row r="194" customFormat="false" ht="15" hidden="false" customHeight="false" outlineLevel="0" collapsed="false">
      <c r="P194" s="3" t="str">
        <f aca="false">IF(AND($A194="funding",ISNUMBER($D194)),$D194,"")</f>
        <v/>
      </c>
    </row>
    <row r="195" customFormat="false" ht="15" hidden="false" customHeight="false" outlineLevel="0" collapsed="false">
      <c r="P195" s="3" t="str">
        <f aca="false">IF(AND($A195="funding",ISNUMBER($D195)),$D195,"")</f>
        <v/>
      </c>
    </row>
    <row r="196" customFormat="false" ht="15" hidden="false" customHeight="false" outlineLevel="0" collapsed="false">
      <c r="P196" s="3" t="str">
        <f aca="false">IF(AND($A196="funding",ISNUMBER($D196)),$D196,"")</f>
        <v/>
      </c>
    </row>
    <row r="197" customFormat="false" ht="15" hidden="false" customHeight="false" outlineLevel="0" collapsed="false">
      <c r="P197" s="3" t="str">
        <f aca="false">IF(AND($A197="funding",ISNUMBER($D197)),$D197,"")</f>
        <v/>
      </c>
    </row>
    <row r="198" customFormat="false" ht="15" hidden="false" customHeight="false" outlineLevel="0" collapsed="false">
      <c r="P198" s="3" t="str">
        <f aca="false">IF(AND($A198="funding",ISNUMBER($D198)),$D198,"")</f>
        <v/>
      </c>
    </row>
    <row r="199" customFormat="false" ht="15" hidden="false" customHeight="false" outlineLevel="0" collapsed="false">
      <c r="P199" s="3" t="str">
        <f aca="false">IF(AND($A199="funding",ISNUMBER($D199)),$D199,"")</f>
        <v/>
      </c>
    </row>
    <row r="200" customFormat="false" ht="15" hidden="false" customHeight="false" outlineLevel="0" collapsed="false">
      <c r="P200" s="3" t="str">
        <f aca="false">IF(AND($A200="funding",ISNUMBER($D200)),$D200,"")</f>
        <v/>
      </c>
    </row>
    <row r="201" customFormat="false" ht="15" hidden="false" customHeight="false" outlineLevel="0" collapsed="false">
      <c r="P201" s="3" t="str">
        <f aca="false">IF(AND($A201="funding",ISNUMBER($D201)),$D201,"")</f>
        <v/>
      </c>
    </row>
    <row r="202" customFormat="false" ht="15" hidden="false" customHeight="false" outlineLevel="0" collapsed="false">
      <c r="P202" s="3" t="str">
        <f aca="false">IF(AND($A202="funding",ISNUMBER($D202)),$D202,"")</f>
        <v/>
      </c>
    </row>
    <row r="203" customFormat="false" ht="15" hidden="false" customHeight="false" outlineLevel="0" collapsed="false">
      <c r="P203" s="3" t="str">
        <f aca="false">IF(AND($A203="funding",ISNUMBER($D203)),$D203,"")</f>
        <v/>
      </c>
    </row>
    <row r="204" customFormat="false" ht="15" hidden="false" customHeight="false" outlineLevel="0" collapsed="false">
      <c r="P204" s="3" t="str">
        <f aca="false">IF(AND($A204="funding",ISNUMBER($D204)),$D204,"")</f>
        <v/>
      </c>
    </row>
    <row r="205" customFormat="false" ht="15" hidden="false" customHeight="false" outlineLevel="0" collapsed="false">
      <c r="P205" s="3" t="str">
        <f aca="false">IF(AND($A205="funding",ISNUMBER($D205)),$D205,"")</f>
        <v/>
      </c>
    </row>
    <row r="206" customFormat="false" ht="15" hidden="false" customHeight="false" outlineLevel="0" collapsed="false">
      <c r="P206" s="3" t="str">
        <f aca="false">IF(AND($A206="funding",ISNUMBER($D206)),$D206,"")</f>
        <v/>
      </c>
    </row>
    <row r="207" customFormat="false" ht="15" hidden="false" customHeight="false" outlineLevel="0" collapsed="false">
      <c r="P207" s="3" t="str">
        <f aca="false">IF(AND($A207="funding",ISNUMBER($D207)),$D207,"")</f>
        <v/>
      </c>
    </row>
    <row r="208" customFormat="false" ht="15" hidden="false" customHeight="false" outlineLevel="0" collapsed="false">
      <c r="P208" s="3" t="str">
        <f aca="false">IF(AND($A208="funding",ISNUMBER($D208)),$D208,"")</f>
        <v/>
      </c>
    </row>
    <row r="209" customFormat="false" ht="15" hidden="false" customHeight="false" outlineLevel="0" collapsed="false">
      <c r="P209" s="3" t="str">
        <f aca="false">IF(AND($A209="funding",ISNUMBER($D209)),$D209,"")</f>
        <v/>
      </c>
    </row>
    <row r="210" customFormat="false" ht="15" hidden="false" customHeight="false" outlineLevel="0" collapsed="false">
      <c r="P210" s="3" t="str">
        <f aca="false">IF(AND($A210="funding",ISNUMBER($D210)),$D210,"")</f>
        <v/>
      </c>
    </row>
    <row r="211" customFormat="false" ht="15" hidden="false" customHeight="false" outlineLevel="0" collapsed="false">
      <c r="P211" s="3" t="str">
        <f aca="false">IF(AND($A211="funding",ISNUMBER($D211)),$D211,"")</f>
        <v/>
      </c>
    </row>
    <row r="212" customFormat="false" ht="15" hidden="false" customHeight="false" outlineLevel="0" collapsed="false">
      <c r="P212" s="3" t="str">
        <f aca="false">IF(AND($A212="funding",ISNUMBER($D212)),$D212,"")</f>
        <v/>
      </c>
    </row>
    <row r="213" customFormat="false" ht="15" hidden="false" customHeight="false" outlineLevel="0" collapsed="false">
      <c r="P213" s="3" t="str">
        <f aca="false">IF(AND($A213="funding",ISNUMBER($D213)),$D213,"")</f>
        <v/>
      </c>
    </row>
    <row r="214" customFormat="false" ht="15" hidden="false" customHeight="false" outlineLevel="0" collapsed="false">
      <c r="P214" s="3" t="str">
        <f aca="false">IF(AND($A214="funding",ISNUMBER($D214)),$D214,"")</f>
        <v/>
      </c>
    </row>
    <row r="215" customFormat="false" ht="15" hidden="false" customHeight="false" outlineLevel="0" collapsed="false">
      <c r="P215" s="3" t="str">
        <f aca="false">IF(AND($A215="funding",ISNUMBER($D215)),$D215,"")</f>
        <v/>
      </c>
    </row>
    <row r="216" customFormat="false" ht="15" hidden="false" customHeight="false" outlineLevel="0" collapsed="false">
      <c r="P216" s="3" t="str">
        <f aca="false">IF(AND($A216="funding",ISNUMBER($D216)),$D216,"")</f>
        <v/>
      </c>
    </row>
    <row r="217" customFormat="false" ht="15" hidden="false" customHeight="false" outlineLevel="0" collapsed="false">
      <c r="P217" s="3" t="str">
        <f aca="false">IF(AND($A217="funding",ISNUMBER($D217)),$D217,"")</f>
        <v/>
      </c>
    </row>
    <row r="218" customFormat="false" ht="15" hidden="false" customHeight="false" outlineLevel="0" collapsed="false">
      <c r="P218" s="3" t="str">
        <f aca="false">IF(AND($A218="funding",ISNUMBER($D218)),$D218,"")</f>
        <v/>
      </c>
    </row>
    <row r="219" customFormat="false" ht="15" hidden="false" customHeight="false" outlineLevel="0" collapsed="false">
      <c r="P219" s="3" t="str">
        <f aca="false">IF(AND($A219="funding",ISNUMBER($D219)),$D219,"")</f>
        <v/>
      </c>
    </row>
    <row r="220" customFormat="false" ht="15" hidden="false" customHeight="false" outlineLevel="0" collapsed="false">
      <c r="P220" s="3" t="str">
        <f aca="false">IF(AND($A220="funding",ISNUMBER($D220)),$D220,"")</f>
        <v/>
      </c>
    </row>
    <row r="221" customFormat="false" ht="15" hidden="false" customHeight="false" outlineLevel="0" collapsed="false">
      <c r="P221" s="3" t="str">
        <f aca="false">IF(AND($A221="funding",ISNUMBER($D221)),$D221,"")</f>
        <v/>
      </c>
    </row>
    <row r="222" customFormat="false" ht="15" hidden="false" customHeight="false" outlineLevel="0" collapsed="false">
      <c r="P222" s="3" t="str">
        <f aca="false">IF(AND($A222="funding",ISNUMBER($D222)),$D222,"")</f>
        <v/>
      </c>
    </row>
    <row r="223" customFormat="false" ht="15" hidden="false" customHeight="false" outlineLevel="0" collapsed="false">
      <c r="P223" s="3" t="str">
        <f aca="false">IF(AND($A223="funding",ISNUMBER($D223)),$D223,"")</f>
        <v/>
      </c>
    </row>
    <row r="224" customFormat="false" ht="15" hidden="false" customHeight="false" outlineLevel="0" collapsed="false">
      <c r="P224" s="3" t="str">
        <f aca="false">IF(AND($A224="funding",ISNUMBER($D224)),$D224,"")</f>
        <v/>
      </c>
    </row>
    <row r="225" customFormat="false" ht="15" hidden="false" customHeight="false" outlineLevel="0" collapsed="false">
      <c r="P225" s="3" t="str">
        <f aca="false">IF(AND($A225="funding",ISNUMBER($D225)),$D225,"")</f>
        <v/>
      </c>
    </row>
    <row r="226" customFormat="false" ht="15" hidden="false" customHeight="false" outlineLevel="0" collapsed="false">
      <c r="P226" s="3" t="str">
        <f aca="false">IF(AND($A226="funding",ISNUMBER($D226)),$D226,"")</f>
        <v/>
      </c>
    </row>
    <row r="227" customFormat="false" ht="15" hidden="false" customHeight="false" outlineLevel="0" collapsed="false">
      <c r="P227" s="3" t="str">
        <f aca="false">IF(AND($A227="funding",ISNUMBER($D227)),$D227,"")</f>
        <v/>
      </c>
    </row>
    <row r="228" customFormat="false" ht="15" hidden="false" customHeight="false" outlineLevel="0" collapsed="false">
      <c r="P228" s="3" t="str">
        <f aca="false">IF(AND($A228="funding",ISNUMBER($D228)),$D228,"")</f>
        <v/>
      </c>
    </row>
    <row r="229" customFormat="false" ht="15" hidden="false" customHeight="false" outlineLevel="0" collapsed="false">
      <c r="P229" s="3" t="str">
        <f aca="false">IF(AND($A229="funding",ISNUMBER($D229)),$D229,"")</f>
        <v/>
      </c>
    </row>
    <row r="230" customFormat="false" ht="15" hidden="false" customHeight="false" outlineLevel="0" collapsed="false">
      <c r="P230" s="3" t="str">
        <f aca="false">IF(AND($A230="funding",ISNUMBER($D230)),$D230,"")</f>
        <v/>
      </c>
    </row>
    <row r="231" customFormat="false" ht="15" hidden="false" customHeight="false" outlineLevel="0" collapsed="false">
      <c r="P231" s="3" t="str">
        <f aca="false">IF(AND($A231="funding",ISNUMBER($D231)),$D231,"")</f>
        <v/>
      </c>
    </row>
    <row r="232" customFormat="false" ht="15" hidden="false" customHeight="false" outlineLevel="0" collapsed="false">
      <c r="P232" s="3" t="str">
        <f aca="false">IF(AND($A232="funding",ISNUMBER($D232)),$D232,"")</f>
        <v/>
      </c>
    </row>
    <row r="233" customFormat="false" ht="15" hidden="false" customHeight="false" outlineLevel="0" collapsed="false">
      <c r="P233" s="3" t="str">
        <f aca="false">IF(AND($A233="funding",ISNUMBER($D233)),$D233,"")</f>
        <v/>
      </c>
    </row>
    <row r="234" customFormat="false" ht="15" hidden="false" customHeight="false" outlineLevel="0" collapsed="false">
      <c r="P234" s="3" t="str">
        <f aca="false">IF(AND($A234="funding",ISNUMBER($D234)),$D234,"")</f>
        <v/>
      </c>
    </row>
    <row r="235" customFormat="false" ht="15" hidden="false" customHeight="false" outlineLevel="0" collapsed="false">
      <c r="P235" s="3" t="str">
        <f aca="false">IF(AND($A235="funding",ISNUMBER($D235)),$D235,"")</f>
        <v/>
      </c>
    </row>
    <row r="236" customFormat="false" ht="15" hidden="false" customHeight="false" outlineLevel="0" collapsed="false">
      <c r="P236" s="3" t="str">
        <f aca="false">IF(AND($A236="funding",ISNUMBER($D236)),$D236,"")</f>
        <v/>
      </c>
    </row>
    <row r="237" customFormat="false" ht="15" hidden="false" customHeight="false" outlineLevel="0" collapsed="false">
      <c r="P237" s="3" t="str">
        <f aca="false">IF(AND($A237="funding",ISNUMBER($D237)),$D237,"")</f>
        <v/>
      </c>
    </row>
    <row r="238" customFormat="false" ht="15" hidden="false" customHeight="false" outlineLevel="0" collapsed="false">
      <c r="P238" s="3" t="str">
        <f aca="false">IF(AND($A238="funding",ISNUMBER($D238)),$D238,"")</f>
        <v/>
      </c>
    </row>
    <row r="239" customFormat="false" ht="15" hidden="false" customHeight="false" outlineLevel="0" collapsed="false">
      <c r="P239" s="3" t="str">
        <f aca="false">IF(AND($A239="funding",ISNUMBER($D239)),$D239,"")</f>
        <v/>
      </c>
    </row>
    <row r="240" customFormat="false" ht="15" hidden="false" customHeight="false" outlineLevel="0" collapsed="false">
      <c r="P240" s="3" t="str">
        <f aca="false">IF(AND($A240="funding",ISNUMBER($D240)),$D240,"")</f>
        <v/>
      </c>
    </row>
    <row r="241" customFormat="false" ht="15" hidden="false" customHeight="false" outlineLevel="0" collapsed="false">
      <c r="P241" s="3" t="str">
        <f aca="false">IF(AND($A241="funding",ISNUMBER($D241)),$D241,"")</f>
        <v/>
      </c>
    </row>
    <row r="242" customFormat="false" ht="15" hidden="false" customHeight="false" outlineLevel="0" collapsed="false">
      <c r="P242" s="3" t="str">
        <f aca="false">IF(AND($A242="funding",ISNUMBER($D242)),$D242,"")</f>
        <v/>
      </c>
    </row>
    <row r="243" customFormat="false" ht="15" hidden="false" customHeight="false" outlineLevel="0" collapsed="false">
      <c r="P243" s="3" t="str">
        <f aca="false">IF(AND($A243="funding",ISNUMBER($D243)),$D243,"")</f>
        <v/>
      </c>
    </row>
    <row r="244" customFormat="false" ht="15" hidden="false" customHeight="false" outlineLevel="0" collapsed="false">
      <c r="P244" s="3" t="str">
        <f aca="false">IF(AND($A244="funding",ISNUMBER($D244)),$D244,"")</f>
        <v/>
      </c>
    </row>
    <row r="245" customFormat="false" ht="15" hidden="false" customHeight="false" outlineLevel="0" collapsed="false">
      <c r="P245" s="3" t="str">
        <f aca="false">IF(AND($A245="funding",ISNUMBER($D245)),$D245,"")</f>
        <v/>
      </c>
    </row>
    <row r="246" customFormat="false" ht="15" hidden="false" customHeight="false" outlineLevel="0" collapsed="false">
      <c r="P246" s="3" t="str">
        <f aca="false">IF(AND($A246="funding",ISNUMBER($D246)),$D246,"")</f>
        <v/>
      </c>
    </row>
    <row r="247" customFormat="false" ht="15" hidden="false" customHeight="false" outlineLevel="0" collapsed="false">
      <c r="P247" s="3" t="str">
        <f aca="false">IF(AND($A247="funding",ISNUMBER($D247)),$D247,"")</f>
        <v/>
      </c>
    </row>
    <row r="248" customFormat="false" ht="15" hidden="false" customHeight="false" outlineLevel="0" collapsed="false">
      <c r="P248" s="3" t="str">
        <f aca="false">IF(AND($A248="funding",ISNUMBER($D248)),$D248,"")</f>
        <v/>
      </c>
    </row>
    <row r="249" customFormat="false" ht="15" hidden="false" customHeight="false" outlineLevel="0" collapsed="false">
      <c r="P249" s="3" t="str">
        <f aca="false">IF(AND($A249="funding",ISNUMBER($D249)),$D249,"")</f>
        <v/>
      </c>
    </row>
    <row r="250" customFormat="false" ht="15" hidden="false" customHeight="false" outlineLevel="0" collapsed="false">
      <c r="P250" s="3" t="str">
        <f aca="false">IF(AND($A250="funding",ISNUMBER($D250)),$D250,"")</f>
        <v/>
      </c>
    </row>
    <row r="251" customFormat="false" ht="15" hidden="false" customHeight="false" outlineLevel="0" collapsed="false">
      <c r="P251" s="3" t="str">
        <f aca="false">IF(AND($A251="funding",ISNUMBER($D251)),$D251,"")</f>
        <v/>
      </c>
    </row>
    <row r="252" customFormat="false" ht="15" hidden="false" customHeight="false" outlineLevel="0" collapsed="false">
      <c r="P252" s="3" t="str">
        <f aca="false">IF(AND($A252="funding",ISNUMBER($D252)),$D252,"")</f>
        <v/>
      </c>
    </row>
    <row r="253" customFormat="false" ht="15" hidden="false" customHeight="false" outlineLevel="0" collapsed="false">
      <c r="P253" s="3" t="str">
        <f aca="false">IF(AND($A253="funding",ISNUMBER($D253)),$D253,"")</f>
        <v/>
      </c>
    </row>
    <row r="254" customFormat="false" ht="15" hidden="false" customHeight="false" outlineLevel="0" collapsed="false">
      <c r="P254" s="3" t="str">
        <f aca="false">IF(AND($A254="funding",ISNUMBER($D254)),$D254,"")</f>
        <v/>
      </c>
    </row>
    <row r="255" customFormat="false" ht="15" hidden="false" customHeight="false" outlineLevel="0" collapsed="false">
      <c r="P255" s="3" t="str">
        <f aca="false">IF(AND($A255="funding",ISNUMBER($D255)),$D255,"")</f>
        <v/>
      </c>
    </row>
    <row r="256" customFormat="false" ht="15" hidden="false" customHeight="false" outlineLevel="0" collapsed="false">
      <c r="P256" s="3" t="str">
        <f aca="false">IF(AND($A256="funding",ISNUMBER($D256)),$D256,"")</f>
        <v/>
      </c>
    </row>
    <row r="257" customFormat="false" ht="15" hidden="false" customHeight="false" outlineLevel="0" collapsed="false">
      <c r="P257" s="3" t="str">
        <f aca="false">IF(AND($A257="funding",ISNUMBER($D257)),$D257,"")</f>
        <v/>
      </c>
    </row>
    <row r="258" customFormat="false" ht="15" hidden="false" customHeight="false" outlineLevel="0" collapsed="false">
      <c r="P258" s="3" t="str">
        <f aca="false">IF(AND($A258="funding",ISNUMBER($D258)),$D258,"")</f>
        <v/>
      </c>
    </row>
    <row r="259" customFormat="false" ht="15" hidden="false" customHeight="false" outlineLevel="0" collapsed="false">
      <c r="P259" s="3" t="str">
        <f aca="false">IF(AND($A259="funding",ISNUMBER($D259)),$D259,"")</f>
        <v/>
      </c>
    </row>
    <row r="260" customFormat="false" ht="15" hidden="false" customHeight="false" outlineLevel="0" collapsed="false">
      <c r="P260" s="3" t="str">
        <f aca="false">IF(AND($A260="funding",ISNUMBER($D260)),$D260,"")</f>
        <v/>
      </c>
    </row>
    <row r="261" customFormat="false" ht="15" hidden="false" customHeight="false" outlineLevel="0" collapsed="false">
      <c r="P261" s="3" t="str">
        <f aca="false">IF(AND($A261="funding",ISNUMBER($D261)),$D261,"")</f>
        <v/>
      </c>
    </row>
    <row r="262" customFormat="false" ht="15" hidden="false" customHeight="false" outlineLevel="0" collapsed="false">
      <c r="P262" s="3" t="str">
        <f aca="false">IF(AND($A262="funding",ISNUMBER($D262)),$D262,"")</f>
        <v/>
      </c>
    </row>
    <row r="263" customFormat="false" ht="15" hidden="false" customHeight="false" outlineLevel="0" collapsed="false">
      <c r="P263" s="3" t="str">
        <f aca="false">IF(AND($A263="funding",ISNUMBER($D263)),$D263,"")</f>
        <v/>
      </c>
    </row>
    <row r="264" customFormat="false" ht="15" hidden="false" customHeight="false" outlineLevel="0" collapsed="false">
      <c r="P264" s="3" t="str">
        <f aca="false">IF(AND($A264="funding",ISNUMBER($D264)),$D264,"")</f>
        <v/>
      </c>
    </row>
    <row r="265" customFormat="false" ht="15" hidden="false" customHeight="false" outlineLevel="0" collapsed="false">
      <c r="P265" s="3" t="str">
        <f aca="false">IF(AND($A265="funding",ISNUMBER($D265)),$D265,"")</f>
        <v/>
      </c>
    </row>
    <row r="266" customFormat="false" ht="15" hidden="false" customHeight="false" outlineLevel="0" collapsed="false">
      <c r="P266" s="3" t="str">
        <f aca="false">IF(AND($A266="funding",ISNUMBER($D266)),$D266,"")</f>
        <v/>
      </c>
    </row>
    <row r="267" customFormat="false" ht="15" hidden="false" customHeight="false" outlineLevel="0" collapsed="false">
      <c r="P267" s="3" t="str">
        <f aca="false">IF(AND($A267="funding",ISNUMBER($D267)),$D267,"")</f>
        <v/>
      </c>
    </row>
    <row r="268" customFormat="false" ht="15" hidden="false" customHeight="false" outlineLevel="0" collapsed="false">
      <c r="P268" s="3" t="str">
        <f aca="false">IF(AND($A268="funding",ISNUMBER($D268)),$D268,"")</f>
        <v/>
      </c>
    </row>
    <row r="269" customFormat="false" ht="15" hidden="false" customHeight="false" outlineLevel="0" collapsed="false">
      <c r="P269" s="3" t="str">
        <f aca="false">IF(AND($A269="funding",ISNUMBER($D269)),$D269,"")</f>
        <v/>
      </c>
    </row>
    <row r="270" customFormat="false" ht="15" hidden="false" customHeight="false" outlineLevel="0" collapsed="false">
      <c r="P270" s="3" t="str">
        <f aca="false">IF(AND($A270="funding",ISNUMBER($D270)),$D270,"")</f>
        <v/>
      </c>
    </row>
    <row r="271" customFormat="false" ht="15" hidden="false" customHeight="false" outlineLevel="0" collapsed="false">
      <c r="P271" s="3" t="str">
        <f aca="false">IF(AND($A271="funding",ISNUMBER($D271)),$D271,"")</f>
        <v/>
      </c>
    </row>
    <row r="272" customFormat="false" ht="15" hidden="false" customHeight="false" outlineLevel="0" collapsed="false">
      <c r="P272" s="3" t="str">
        <f aca="false">IF(AND($A272="funding",ISNUMBER($D272)),$D272,"")</f>
        <v/>
      </c>
    </row>
    <row r="273" customFormat="false" ht="15" hidden="false" customHeight="false" outlineLevel="0" collapsed="false">
      <c r="P273" s="3" t="str">
        <f aca="false">IF(AND($A273="funding",ISNUMBER($D273)),$D273,"")</f>
        <v/>
      </c>
    </row>
    <row r="274" customFormat="false" ht="15" hidden="false" customHeight="false" outlineLevel="0" collapsed="false">
      <c r="P274" s="3" t="str">
        <f aca="false">IF(AND($A274="funding",ISNUMBER($D274)),$D274,"")</f>
        <v/>
      </c>
    </row>
    <row r="275" customFormat="false" ht="15" hidden="false" customHeight="false" outlineLevel="0" collapsed="false">
      <c r="P275" s="3" t="str">
        <f aca="false">IF(AND($A275="funding",ISNUMBER($D275)),$D275,"")</f>
        <v/>
      </c>
    </row>
    <row r="276" customFormat="false" ht="15" hidden="false" customHeight="false" outlineLevel="0" collapsed="false">
      <c r="P276" s="3" t="str">
        <f aca="false">IF(AND($A276="funding",ISNUMBER($D276)),$D276,"")</f>
        <v/>
      </c>
    </row>
    <row r="277" customFormat="false" ht="15" hidden="false" customHeight="false" outlineLevel="0" collapsed="false">
      <c r="P277" s="3" t="str">
        <f aca="false">IF(AND($A277="funding",ISNUMBER($D277)),$D277,"")</f>
        <v/>
      </c>
    </row>
    <row r="278" customFormat="false" ht="15" hidden="false" customHeight="false" outlineLevel="0" collapsed="false">
      <c r="P278" s="3" t="str">
        <f aca="false">IF(AND($A278="funding",ISNUMBER($D278)),$D278,"")</f>
        <v/>
      </c>
    </row>
    <row r="279" customFormat="false" ht="15" hidden="false" customHeight="false" outlineLevel="0" collapsed="false">
      <c r="P279" s="3" t="str">
        <f aca="false">IF(AND($A279="funding",ISNUMBER($D279)),$D279,"")</f>
        <v/>
      </c>
    </row>
    <row r="280" customFormat="false" ht="15" hidden="false" customHeight="false" outlineLevel="0" collapsed="false">
      <c r="P280" s="3" t="str">
        <f aca="false">IF(AND($A280="funding",ISNUMBER($D280)),$D280,"")</f>
        <v/>
      </c>
    </row>
    <row r="281" customFormat="false" ht="15" hidden="false" customHeight="false" outlineLevel="0" collapsed="false">
      <c r="P281" s="3" t="str">
        <f aca="false">IF(AND($A281="funding",ISNUMBER($D281)),$D281,"")</f>
        <v/>
      </c>
    </row>
    <row r="282" customFormat="false" ht="15" hidden="false" customHeight="false" outlineLevel="0" collapsed="false">
      <c r="P282" s="3" t="str">
        <f aca="false">IF(AND($A282="funding",ISNUMBER($D282)),$D282,"")</f>
        <v/>
      </c>
    </row>
    <row r="283" customFormat="false" ht="15" hidden="false" customHeight="false" outlineLevel="0" collapsed="false">
      <c r="P283" s="3" t="str">
        <f aca="false">IF(AND($A283="funding",ISNUMBER($D283)),$D283,"")</f>
        <v/>
      </c>
    </row>
    <row r="284" customFormat="false" ht="15" hidden="false" customHeight="false" outlineLevel="0" collapsed="false">
      <c r="P284" s="3" t="str">
        <f aca="false">IF(AND($A284="funding",ISNUMBER($D284)),$D284,"")</f>
        <v/>
      </c>
    </row>
    <row r="285" customFormat="false" ht="15" hidden="false" customHeight="false" outlineLevel="0" collapsed="false">
      <c r="P285" s="3" t="str">
        <f aca="false">IF(AND($A285="funding",ISNUMBER($D285)),$D285,"")</f>
        <v/>
      </c>
    </row>
    <row r="286" customFormat="false" ht="15" hidden="false" customHeight="false" outlineLevel="0" collapsed="false">
      <c r="P286" s="3" t="str">
        <f aca="false">IF(AND($A286="funding",ISNUMBER($D286)),$D286,"")</f>
        <v/>
      </c>
    </row>
    <row r="287" customFormat="false" ht="15" hidden="false" customHeight="false" outlineLevel="0" collapsed="false">
      <c r="P287" s="3" t="str">
        <f aca="false">IF(AND($A287="funding",ISNUMBER($D287)),$D287,"")</f>
        <v/>
      </c>
    </row>
    <row r="288" customFormat="false" ht="15" hidden="false" customHeight="false" outlineLevel="0" collapsed="false">
      <c r="P288" s="3" t="str">
        <f aca="false">IF(AND($A288="funding",ISNUMBER($D288)),$D288,"")</f>
        <v/>
      </c>
    </row>
    <row r="289" customFormat="false" ht="15" hidden="false" customHeight="false" outlineLevel="0" collapsed="false">
      <c r="P289" s="3" t="str">
        <f aca="false">IF(AND($A289="funding",ISNUMBER($D289)),$D289,"")</f>
        <v/>
      </c>
    </row>
    <row r="290" customFormat="false" ht="15" hidden="false" customHeight="false" outlineLevel="0" collapsed="false">
      <c r="P290" s="3" t="str">
        <f aca="false">IF(AND($A290="funding",ISNUMBER($D290)),$D290,"")</f>
        <v/>
      </c>
    </row>
    <row r="291" customFormat="false" ht="15" hidden="false" customHeight="false" outlineLevel="0" collapsed="false">
      <c r="P291" s="3" t="str">
        <f aca="false">IF(AND($A291="funding",ISNUMBER($D291)),$D291,"")</f>
        <v/>
      </c>
    </row>
    <row r="292" customFormat="false" ht="15" hidden="false" customHeight="false" outlineLevel="0" collapsed="false">
      <c r="P292" s="3" t="str">
        <f aca="false">IF(AND($A292="funding",ISNUMBER($D292)),$D292,"")</f>
        <v/>
      </c>
    </row>
    <row r="293" customFormat="false" ht="15" hidden="false" customHeight="false" outlineLevel="0" collapsed="false">
      <c r="P293" s="3" t="str">
        <f aca="false">IF(AND($A293="funding",ISNUMBER($D293)),$D293,"")</f>
        <v/>
      </c>
    </row>
    <row r="294" customFormat="false" ht="15" hidden="false" customHeight="false" outlineLevel="0" collapsed="false">
      <c r="P294" s="3" t="str">
        <f aca="false">IF(AND($A294="funding",ISNUMBER($D294)),$D294,"")</f>
        <v/>
      </c>
    </row>
    <row r="295" customFormat="false" ht="15" hidden="false" customHeight="false" outlineLevel="0" collapsed="false">
      <c r="P295" s="3" t="str">
        <f aca="false">IF(AND($A295="funding",ISNUMBER($D295)),$D295,"")</f>
        <v/>
      </c>
    </row>
    <row r="296" customFormat="false" ht="15" hidden="false" customHeight="false" outlineLevel="0" collapsed="false">
      <c r="P296" s="3" t="str">
        <f aca="false">IF(AND($A296="funding",ISNUMBER($D296)),$D296,"")</f>
        <v/>
      </c>
    </row>
    <row r="297" customFormat="false" ht="15" hidden="false" customHeight="false" outlineLevel="0" collapsed="false">
      <c r="P297" s="3" t="str">
        <f aca="false">IF(AND($A297="funding",ISNUMBER($D297)),$D297,"")</f>
        <v/>
      </c>
    </row>
    <row r="298" customFormat="false" ht="15" hidden="false" customHeight="false" outlineLevel="0" collapsed="false">
      <c r="P298" s="3" t="str">
        <f aca="false">IF(AND($A298="funding",ISNUMBER($D298)),$D298,"")</f>
        <v/>
      </c>
    </row>
    <row r="299" customFormat="false" ht="15" hidden="false" customHeight="false" outlineLevel="0" collapsed="false">
      <c r="P299" s="3" t="str">
        <f aca="false">IF(AND($A299="funding",ISNUMBER($D299)),$D299,"")</f>
        <v/>
      </c>
    </row>
    <row r="300" customFormat="false" ht="15" hidden="false" customHeight="false" outlineLevel="0" collapsed="false">
      <c r="P300" s="3" t="str">
        <f aca="false">IF(AND($A300="funding",ISNUMBER($D300)),$D300,"")</f>
        <v/>
      </c>
    </row>
    <row r="301" customFormat="false" ht="15" hidden="false" customHeight="false" outlineLevel="0" collapsed="false">
      <c r="P301" s="3" t="str">
        <f aca="false">IF(AND($A301="funding",ISNUMBER($D301)),$D301,"")</f>
        <v/>
      </c>
    </row>
    <row r="302" customFormat="false" ht="15" hidden="false" customHeight="false" outlineLevel="0" collapsed="false">
      <c r="P302" s="3" t="str">
        <f aca="false">IF(AND($A302="funding",ISNUMBER($D302)),$D302,"")</f>
        <v/>
      </c>
    </row>
    <row r="303" customFormat="false" ht="15" hidden="false" customHeight="false" outlineLevel="0" collapsed="false">
      <c r="P303" s="3" t="str">
        <f aca="false">IF(AND($A303="funding",ISNUMBER($D303)),$D303,"")</f>
        <v/>
      </c>
    </row>
    <row r="304" customFormat="false" ht="15" hidden="false" customHeight="false" outlineLevel="0" collapsed="false">
      <c r="P304" s="3" t="str">
        <f aca="false">IF(AND($A304="funding",ISNUMBER($D304)),$D304,"")</f>
        <v/>
      </c>
    </row>
    <row r="305" customFormat="false" ht="15" hidden="false" customHeight="false" outlineLevel="0" collapsed="false">
      <c r="P305" s="3" t="str">
        <f aca="false">IF(AND($A305="funding",ISNUMBER($D305)),$D305,"")</f>
        <v/>
      </c>
    </row>
    <row r="306" customFormat="false" ht="15" hidden="false" customHeight="false" outlineLevel="0" collapsed="false">
      <c r="P306" s="3" t="str">
        <f aca="false">IF(AND($A306="funding",ISNUMBER($D306)),$D306,"")</f>
        <v/>
      </c>
    </row>
    <row r="307" customFormat="false" ht="15" hidden="false" customHeight="false" outlineLevel="0" collapsed="false">
      <c r="P307" s="3" t="str">
        <f aca="false">IF(AND($A307="funding",ISNUMBER($D307)),$D307,"")</f>
        <v/>
      </c>
    </row>
    <row r="308" customFormat="false" ht="15" hidden="false" customHeight="false" outlineLevel="0" collapsed="false">
      <c r="P308" s="3" t="str">
        <f aca="false">IF(AND($A308="funding",ISNUMBER($D308)),$D308,"")</f>
        <v/>
      </c>
    </row>
    <row r="309" customFormat="false" ht="15" hidden="false" customHeight="false" outlineLevel="0" collapsed="false">
      <c r="P309" s="3" t="str">
        <f aca="false">IF(AND($A309="funding",ISNUMBER($D309)),$D309,"")</f>
        <v/>
      </c>
    </row>
    <row r="310" customFormat="false" ht="15" hidden="false" customHeight="false" outlineLevel="0" collapsed="false">
      <c r="P310" s="3" t="str">
        <f aca="false">IF(AND($A310="funding",ISNUMBER($D310)),$D310,"")</f>
        <v/>
      </c>
    </row>
    <row r="311" customFormat="false" ht="15" hidden="false" customHeight="false" outlineLevel="0" collapsed="false">
      <c r="P311" s="3" t="str">
        <f aca="false">IF(AND($A311="funding",ISNUMBER($D311)),$D311,"")</f>
        <v/>
      </c>
    </row>
    <row r="312" customFormat="false" ht="15" hidden="false" customHeight="false" outlineLevel="0" collapsed="false">
      <c r="P312" s="3" t="str">
        <f aca="false">IF(AND($A312="funding",ISNUMBER($D312)),$D312,"")</f>
        <v/>
      </c>
    </row>
    <row r="313" customFormat="false" ht="15" hidden="false" customHeight="false" outlineLevel="0" collapsed="false">
      <c r="P313" s="3" t="str">
        <f aca="false">IF(AND($A313="funding",ISNUMBER($D313)),$D313,"")</f>
        <v/>
      </c>
    </row>
    <row r="314" customFormat="false" ht="15" hidden="false" customHeight="false" outlineLevel="0" collapsed="false">
      <c r="P314" s="3" t="str">
        <f aca="false">IF(AND($A314="funding",ISNUMBER($D314)),$D314,"")</f>
        <v/>
      </c>
    </row>
    <row r="315" customFormat="false" ht="15" hidden="false" customHeight="false" outlineLevel="0" collapsed="false">
      <c r="P315" s="3" t="str">
        <f aca="false">IF(AND($A315="funding",ISNUMBER($D315)),$D315,"")</f>
        <v/>
      </c>
    </row>
    <row r="316" customFormat="false" ht="15" hidden="false" customHeight="false" outlineLevel="0" collapsed="false">
      <c r="P316" s="3" t="str">
        <f aca="false">IF(AND($A316="funding",ISNUMBER($D316)),$D316,"")</f>
        <v/>
      </c>
    </row>
    <row r="317" customFormat="false" ht="15" hidden="false" customHeight="false" outlineLevel="0" collapsed="false">
      <c r="P317" s="3" t="str">
        <f aca="false">IF(AND($A317="funding",ISNUMBER($D317)),$D317,"")</f>
        <v/>
      </c>
    </row>
    <row r="318" customFormat="false" ht="15" hidden="false" customHeight="false" outlineLevel="0" collapsed="false">
      <c r="P318" s="3" t="str">
        <f aca="false">IF(AND($A318="funding",ISNUMBER($D318)),$D318,"")</f>
        <v/>
      </c>
    </row>
    <row r="319" customFormat="false" ht="15" hidden="false" customHeight="false" outlineLevel="0" collapsed="false">
      <c r="P319" s="3" t="str">
        <f aca="false">IF(AND($A319="funding",ISNUMBER($D319)),$D319,"")</f>
        <v/>
      </c>
    </row>
    <row r="320" customFormat="false" ht="15" hidden="false" customHeight="false" outlineLevel="0" collapsed="false">
      <c r="P320" s="3" t="str">
        <f aca="false">IF(AND($A320="funding",ISNUMBER($D320)),$D320,"")</f>
        <v/>
      </c>
    </row>
    <row r="321" customFormat="false" ht="15" hidden="false" customHeight="false" outlineLevel="0" collapsed="false">
      <c r="P321" s="3" t="str">
        <f aca="false">IF(AND($A321="funding",ISNUMBER($D321)),$D321,"")</f>
        <v/>
      </c>
    </row>
    <row r="322" customFormat="false" ht="15" hidden="false" customHeight="false" outlineLevel="0" collapsed="false">
      <c r="P322" s="3" t="str">
        <f aca="false">IF(AND($A322="funding",ISNUMBER($D322)),$D322,"")</f>
        <v/>
      </c>
    </row>
    <row r="323" customFormat="false" ht="15" hidden="false" customHeight="false" outlineLevel="0" collapsed="false">
      <c r="P323" s="3" t="str">
        <f aca="false">IF(AND($A323="funding",ISNUMBER($D323)),$D323,"")</f>
        <v/>
      </c>
    </row>
    <row r="324" customFormat="false" ht="15" hidden="false" customHeight="false" outlineLevel="0" collapsed="false">
      <c r="P324" s="3" t="str">
        <f aca="false">IF(AND($A324="funding",ISNUMBER($D324)),$D324,"")</f>
        <v/>
      </c>
    </row>
    <row r="325" customFormat="false" ht="15" hidden="false" customHeight="false" outlineLevel="0" collapsed="false">
      <c r="P325" s="3" t="str">
        <f aca="false">IF(AND($A325="funding",ISNUMBER($D325)),$D325,"")</f>
        <v/>
      </c>
    </row>
    <row r="326" customFormat="false" ht="15" hidden="false" customHeight="false" outlineLevel="0" collapsed="false">
      <c r="P326" s="3" t="str">
        <f aca="false">IF(AND($A326="funding",ISNUMBER($D326)),$D326,"")</f>
        <v/>
      </c>
    </row>
    <row r="327" customFormat="false" ht="15" hidden="false" customHeight="false" outlineLevel="0" collapsed="false">
      <c r="P327" s="3" t="str">
        <f aca="false">IF(AND($A327="funding",ISNUMBER($D327)),$D327,"")</f>
        <v/>
      </c>
    </row>
    <row r="328" customFormat="false" ht="15" hidden="false" customHeight="false" outlineLevel="0" collapsed="false">
      <c r="P328" s="3" t="str">
        <f aca="false">IF(AND($A328="funding",ISNUMBER($D328)),$D328,"")</f>
        <v/>
      </c>
    </row>
    <row r="329" customFormat="false" ht="15" hidden="false" customHeight="false" outlineLevel="0" collapsed="false">
      <c r="P329" s="3" t="str">
        <f aca="false">IF(AND($A329="funding",ISNUMBER($D329)),$D329,"")</f>
        <v/>
      </c>
    </row>
    <row r="330" customFormat="false" ht="15" hidden="false" customHeight="false" outlineLevel="0" collapsed="false">
      <c r="P330" s="3" t="str">
        <f aca="false">IF(AND($A330="funding",ISNUMBER($D330)),$D330,"")</f>
        <v/>
      </c>
    </row>
    <row r="331" customFormat="false" ht="15" hidden="false" customHeight="false" outlineLevel="0" collapsed="false">
      <c r="P331" s="3" t="str">
        <f aca="false">IF(AND($A331="funding",ISNUMBER($D331)),$D331,"")</f>
        <v/>
      </c>
    </row>
    <row r="332" customFormat="false" ht="15" hidden="false" customHeight="false" outlineLevel="0" collapsed="false">
      <c r="P332" s="3" t="str">
        <f aca="false">IF(AND($A332="funding",ISNUMBER($D332)),$D332,"")</f>
        <v/>
      </c>
    </row>
    <row r="333" customFormat="false" ht="15" hidden="false" customHeight="false" outlineLevel="0" collapsed="false">
      <c r="P333" s="3" t="str">
        <f aca="false">IF(AND($A333="funding",ISNUMBER($D333)),$D333,"")</f>
        <v/>
      </c>
    </row>
    <row r="334" customFormat="false" ht="15" hidden="false" customHeight="false" outlineLevel="0" collapsed="false">
      <c r="P334" s="3" t="str">
        <f aca="false">IF(AND($A334="funding",ISNUMBER($D334)),$D334,"")</f>
        <v/>
      </c>
    </row>
    <row r="335" customFormat="false" ht="15" hidden="false" customHeight="false" outlineLevel="0" collapsed="false">
      <c r="P335" s="3" t="str">
        <f aca="false">IF(AND($A335="funding",ISNUMBER($D335)),$D335,"")</f>
        <v/>
      </c>
    </row>
    <row r="336" customFormat="false" ht="15" hidden="false" customHeight="false" outlineLevel="0" collapsed="false">
      <c r="P336" s="3" t="str">
        <f aca="false">IF(AND($A336="funding",ISNUMBER($D336)),$D336,"")</f>
        <v/>
      </c>
    </row>
    <row r="337" customFormat="false" ht="15" hidden="false" customHeight="false" outlineLevel="0" collapsed="false">
      <c r="P337" s="3" t="str">
        <f aca="false">IF(AND($A337="funding",ISNUMBER($D337)),$D337,"")</f>
        <v/>
      </c>
    </row>
    <row r="338" customFormat="false" ht="15" hidden="false" customHeight="false" outlineLevel="0" collapsed="false">
      <c r="P338" s="3" t="str">
        <f aca="false">IF(AND($A338="funding",ISNUMBER($D338)),$D338,"")</f>
        <v/>
      </c>
    </row>
    <row r="339" customFormat="false" ht="15" hidden="false" customHeight="false" outlineLevel="0" collapsed="false">
      <c r="P339" s="3" t="str">
        <f aca="false">IF(AND($A339="funding",ISNUMBER($D339)),$D339,"")</f>
        <v/>
      </c>
    </row>
    <row r="340" customFormat="false" ht="15" hidden="false" customHeight="false" outlineLevel="0" collapsed="false">
      <c r="P340" s="3" t="str">
        <f aca="false">IF(AND($A340="funding",ISNUMBER($D340)),$D340,"")</f>
        <v/>
      </c>
    </row>
    <row r="341" customFormat="false" ht="15" hidden="false" customHeight="false" outlineLevel="0" collapsed="false">
      <c r="P341" s="3" t="str">
        <f aca="false">IF(AND($A341="funding",ISNUMBER($D341)),$D341,"")</f>
        <v/>
      </c>
    </row>
    <row r="342" customFormat="false" ht="15" hidden="false" customHeight="false" outlineLevel="0" collapsed="false">
      <c r="P342" s="3" t="str">
        <f aca="false">IF(AND($A342="funding",ISNUMBER($D342)),$D342,"")</f>
        <v/>
      </c>
    </row>
    <row r="343" customFormat="false" ht="15" hidden="false" customHeight="false" outlineLevel="0" collapsed="false">
      <c r="P343" s="3" t="str">
        <f aca="false">IF(AND($A343="funding",ISNUMBER($D343)),$D343,"")</f>
        <v/>
      </c>
    </row>
    <row r="344" customFormat="false" ht="15" hidden="false" customHeight="false" outlineLevel="0" collapsed="false">
      <c r="P344" s="3" t="str">
        <f aca="false">IF(AND($A344="funding",ISNUMBER($D344)),$D344,"")</f>
        <v/>
      </c>
    </row>
    <row r="345" customFormat="false" ht="15" hidden="false" customHeight="false" outlineLevel="0" collapsed="false">
      <c r="P345" s="3" t="str">
        <f aca="false">IF(AND($A345="funding",ISNUMBER($D345)),$D345,"")</f>
        <v/>
      </c>
    </row>
    <row r="346" customFormat="false" ht="15" hidden="false" customHeight="false" outlineLevel="0" collapsed="false">
      <c r="P346" s="3" t="str">
        <f aca="false">IF(AND($A346="funding",ISNUMBER($D346)),$D346,"")</f>
        <v/>
      </c>
    </row>
    <row r="347" customFormat="false" ht="15" hidden="false" customHeight="false" outlineLevel="0" collapsed="false">
      <c r="P347" s="3" t="str">
        <f aca="false">IF(AND($A347="funding",ISNUMBER($D347)),$D347,"")</f>
        <v/>
      </c>
    </row>
    <row r="348" customFormat="false" ht="15" hidden="false" customHeight="false" outlineLevel="0" collapsed="false">
      <c r="P348" s="3" t="str">
        <f aca="false">IF(AND($A348="funding",ISNUMBER($D348)),$D348,"")</f>
        <v/>
      </c>
    </row>
    <row r="349" customFormat="false" ht="15" hidden="false" customHeight="false" outlineLevel="0" collapsed="false">
      <c r="P349" s="3" t="str">
        <f aca="false">IF(AND($A349="funding",ISNUMBER($D349)),$D349,"")</f>
        <v/>
      </c>
    </row>
    <row r="350" customFormat="false" ht="15" hidden="false" customHeight="false" outlineLevel="0" collapsed="false">
      <c r="P350" s="3" t="str">
        <f aca="false">IF(AND($A350="funding",ISNUMBER($D350)),$D350,"")</f>
        <v/>
      </c>
    </row>
    <row r="351" customFormat="false" ht="15" hidden="false" customHeight="false" outlineLevel="0" collapsed="false">
      <c r="P351" s="3" t="str">
        <f aca="false">IF(AND($A351="funding",ISNUMBER($D351)),$D351,"")</f>
        <v/>
      </c>
    </row>
    <row r="352" customFormat="false" ht="15" hidden="false" customHeight="false" outlineLevel="0" collapsed="false">
      <c r="P352" s="3" t="str">
        <f aca="false">IF(AND($A352="funding",ISNUMBER($D352)),$D352,"")</f>
        <v/>
      </c>
    </row>
    <row r="353" customFormat="false" ht="15" hidden="false" customHeight="false" outlineLevel="0" collapsed="false">
      <c r="P353" s="3" t="str">
        <f aca="false">IF(AND($A353="funding",ISNUMBER($D353)),$D353,"")</f>
        <v/>
      </c>
    </row>
    <row r="354" customFormat="false" ht="15" hidden="false" customHeight="false" outlineLevel="0" collapsed="false">
      <c r="P354" s="3" t="str">
        <f aca="false">IF(AND($A354="funding",ISNUMBER($D354)),$D354,"")</f>
        <v/>
      </c>
    </row>
    <row r="355" customFormat="false" ht="15" hidden="false" customHeight="false" outlineLevel="0" collapsed="false">
      <c r="P355" s="3" t="str">
        <f aca="false">IF(AND($A355="funding",ISNUMBER($D355)),$D355,"")</f>
        <v/>
      </c>
    </row>
    <row r="356" customFormat="false" ht="15" hidden="false" customHeight="false" outlineLevel="0" collapsed="false">
      <c r="P356" s="3" t="str">
        <f aca="false">IF(AND($A356="funding",ISNUMBER($D356)),$D356,"")</f>
        <v/>
      </c>
    </row>
    <row r="357" customFormat="false" ht="15" hidden="false" customHeight="false" outlineLevel="0" collapsed="false">
      <c r="P357" s="3" t="str">
        <f aca="false">IF(AND($A357="funding",ISNUMBER($D357)),$D357,"")</f>
        <v/>
      </c>
    </row>
    <row r="358" customFormat="false" ht="15" hidden="false" customHeight="false" outlineLevel="0" collapsed="false">
      <c r="P358" s="3" t="str">
        <f aca="false">IF(AND($A358="funding",ISNUMBER($D358)),$D358,"")</f>
        <v/>
      </c>
    </row>
    <row r="359" customFormat="false" ht="15" hidden="false" customHeight="false" outlineLevel="0" collapsed="false">
      <c r="P359" s="3" t="str">
        <f aca="false">IF(AND($A359="funding",ISNUMBER($D359)),$D359,"")</f>
        <v/>
      </c>
    </row>
    <row r="360" customFormat="false" ht="15" hidden="false" customHeight="false" outlineLevel="0" collapsed="false">
      <c r="P360" s="3" t="str">
        <f aca="false">IF(AND($A360="funding",ISNUMBER($D360)),$D360,"")</f>
        <v/>
      </c>
    </row>
    <row r="361" customFormat="false" ht="15" hidden="false" customHeight="false" outlineLevel="0" collapsed="false">
      <c r="P361" s="3" t="str">
        <f aca="false">IF(AND($A361="funding",ISNUMBER($D361)),$D361,"")</f>
        <v/>
      </c>
    </row>
    <row r="362" customFormat="false" ht="15" hidden="false" customHeight="false" outlineLevel="0" collapsed="false">
      <c r="P362" s="3" t="str">
        <f aca="false">IF(AND($A362="funding",ISNUMBER($D362)),$D362,"")</f>
        <v/>
      </c>
    </row>
    <row r="363" customFormat="false" ht="15" hidden="false" customHeight="false" outlineLevel="0" collapsed="false">
      <c r="P363" s="3" t="str">
        <f aca="false">IF(AND($A363="funding",ISNUMBER($D363)),$D363,"")</f>
        <v/>
      </c>
    </row>
    <row r="364" customFormat="false" ht="15" hidden="false" customHeight="false" outlineLevel="0" collapsed="false">
      <c r="P364" s="3" t="str">
        <f aca="false">IF(AND($A364="funding",ISNUMBER($D364)),$D364,"")</f>
        <v/>
      </c>
    </row>
    <row r="365" customFormat="false" ht="15" hidden="false" customHeight="false" outlineLevel="0" collapsed="false">
      <c r="P365" s="3" t="str">
        <f aca="false">IF(AND($A365="funding",ISNUMBER($D365)),$D365,"")</f>
        <v/>
      </c>
    </row>
    <row r="366" customFormat="false" ht="15" hidden="false" customHeight="false" outlineLevel="0" collapsed="false">
      <c r="P366" s="3" t="str">
        <f aca="false">IF(AND($A366="funding",ISNUMBER($D366)),$D366,"")</f>
        <v/>
      </c>
    </row>
    <row r="367" customFormat="false" ht="15" hidden="false" customHeight="false" outlineLevel="0" collapsed="false">
      <c r="P367" s="3" t="str">
        <f aca="false">IF(AND($A367="funding",ISNUMBER($D367)),$D367,"")</f>
        <v/>
      </c>
    </row>
    <row r="368" customFormat="false" ht="15" hidden="false" customHeight="false" outlineLevel="0" collapsed="false">
      <c r="P368" s="3" t="str">
        <f aca="false">IF(AND($A368="funding",ISNUMBER($D368)),$D368,"")</f>
        <v/>
      </c>
    </row>
    <row r="369" customFormat="false" ht="15" hidden="false" customHeight="false" outlineLevel="0" collapsed="false">
      <c r="P369" s="3" t="str">
        <f aca="false">IF(AND($A369="funding",ISNUMBER($D369)),$D369,"")</f>
        <v/>
      </c>
    </row>
    <row r="370" customFormat="false" ht="15" hidden="false" customHeight="false" outlineLevel="0" collapsed="false">
      <c r="P370" s="3" t="str">
        <f aca="false">IF(AND($A370="funding",ISNUMBER($D370)),$D370,"")</f>
        <v/>
      </c>
    </row>
    <row r="371" customFormat="false" ht="15" hidden="false" customHeight="false" outlineLevel="0" collapsed="false">
      <c r="P371" s="3" t="str">
        <f aca="false">IF(AND($A371="funding",ISNUMBER($D371)),$D371,"")</f>
        <v/>
      </c>
    </row>
    <row r="372" customFormat="false" ht="15" hidden="false" customHeight="false" outlineLevel="0" collapsed="false">
      <c r="P372" s="3" t="str">
        <f aca="false">IF(AND($A372="funding",ISNUMBER($D372)),$D372,"")</f>
        <v/>
      </c>
    </row>
    <row r="373" customFormat="false" ht="15" hidden="false" customHeight="false" outlineLevel="0" collapsed="false">
      <c r="P373" s="3" t="str">
        <f aca="false">IF(AND($A373="funding",ISNUMBER($D373)),$D373,"")</f>
        <v/>
      </c>
    </row>
    <row r="374" customFormat="false" ht="15" hidden="false" customHeight="false" outlineLevel="0" collapsed="false">
      <c r="P374" s="3" t="str">
        <f aca="false">IF(AND($A374="funding",ISNUMBER($D374)),$D374,"")</f>
        <v/>
      </c>
    </row>
    <row r="375" customFormat="false" ht="15" hidden="false" customHeight="false" outlineLevel="0" collapsed="false">
      <c r="P375" s="3" t="str">
        <f aca="false">IF(AND($A375="funding",ISNUMBER($D375)),$D375,"")</f>
        <v/>
      </c>
    </row>
    <row r="376" customFormat="false" ht="15" hidden="false" customHeight="false" outlineLevel="0" collapsed="false">
      <c r="P376" s="3" t="str">
        <f aca="false">IF(AND($A376="funding",ISNUMBER($D376)),$D376,"")</f>
        <v/>
      </c>
    </row>
    <row r="377" customFormat="false" ht="15" hidden="false" customHeight="false" outlineLevel="0" collapsed="false">
      <c r="P377" s="3" t="str">
        <f aca="false">IF(AND($A377="funding",ISNUMBER($D377)),$D377,"")</f>
        <v/>
      </c>
    </row>
    <row r="378" customFormat="false" ht="15" hidden="false" customHeight="false" outlineLevel="0" collapsed="false">
      <c r="P378" s="3" t="str">
        <f aca="false">IF(AND($A378="funding",ISNUMBER($D378)),$D378,"")</f>
        <v/>
      </c>
    </row>
    <row r="379" customFormat="false" ht="15" hidden="false" customHeight="false" outlineLevel="0" collapsed="false">
      <c r="P379" s="3" t="str">
        <f aca="false">IF(AND($A379="funding",ISNUMBER($D379)),$D379,"")</f>
        <v/>
      </c>
    </row>
    <row r="380" customFormat="false" ht="15" hidden="false" customHeight="false" outlineLevel="0" collapsed="false">
      <c r="P380" s="3" t="str">
        <f aca="false">IF(AND($A380="funding",ISNUMBER($D380)),$D380,"")</f>
        <v/>
      </c>
    </row>
    <row r="381" customFormat="false" ht="15" hidden="false" customHeight="false" outlineLevel="0" collapsed="false">
      <c r="P381" s="3" t="str">
        <f aca="false">IF(AND($A381="funding",ISNUMBER($D381)),$D381,"")</f>
        <v/>
      </c>
    </row>
    <row r="382" customFormat="false" ht="15" hidden="false" customHeight="false" outlineLevel="0" collapsed="false">
      <c r="P382" s="3" t="str">
        <f aca="false">IF(AND($A382="funding",ISNUMBER($D382)),$D382,"")</f>
        <v/>
      </c>
    </row>
    <row r="383" customFormat="false" ht="15" hidden="false" customHeight="false" outlineLevel="0" collapsed="false">
      <c r="P383" s="3" t="str">
        <f aca="false">IF(AND($A383="funding",ISNUMBER($D383)),$D383,"")</f>
        <v/>
      </c>
    </row>
    <row r="384" customFormat="false" ht="15" hidden="false" customHeight="false" outlineLevel="0" collapsed="false">
      <c r="P384" s="3" t="str">
        <f aca="false">IF(AND($A384="funding",ISNUMBER($D384)),$D384,"")</f>
        <v/>
      </c>
    </row>
    <row r="385" customFormat="false" ht="15" hidden="false" customHeight="false" outlineLevel="0" collapsed="false">
      <c r="P385" s="3" t="str">
        <f aca="false">IF(AND($A385="funding",ISNUMBER($D385)),$D385,"")</f>
        <v/>
      </c>
    </row>
    <row r="386" customFormat="false" ht="15" hidden="false" customHeight="false" outlineLevel="0" collapsed="false">
      <c r="P386" s="3" t="str">
        <f aca="false">IF(AND($A386="funding",ISNUMBER($D386)),$D386,"")</f>
        <v/>
      </c>
    </row>
    <row r="387" customFormat="false" ht="15" hidden="false" customHeight="false" outlineLevel="0" collapsed="false">
      <c r="P387" s="3" t="str">
        <f aca="false">IF(AND($A387="funding",ISNUMBER($D387)),$D387,"")</f>
        <v/>
      </c>
    </row>
    <row r="388" customFormat="false" ht="15" hidden="false" customHeight="false" outlineLevel="0" collapsed="false">
      <c r="P388" s="3" t="str">
        <f aca="false">IF(AND($A388="funding",ISNUMBER($D388)),$D388,"")</f>
        <v/>
      </c>
    </row>
    <row r="389" customFormat="false" ht="15" hidden="false" customHeight="false" outlineLevel="0" collapsed="false">
      <c r="P389" s="3" t="str">
        <f aca="false">IF(AND($A389="funding",ISNUMBER($D389)),$D389,"")</f>
        <v/>
      </c>
    </row>
    <row r="390" customFormat="false" ht="15" hidden="false" customHeight="false" outlineLevel="0" collapsed="false">
      <c r="P390" s="3" t="str">
        <f aca="false">IF(AND($A390="funding",ISNUMBER($D390)),$D390,"")</f>
        <v/>
      </c>
    </row>
    <row r="391" customFormat="false" ht="15" hidden="false" customHeight="false" outlineLevel="0" collapsed="false">
      <c r="P391" s="3" t="str">
        <f aca="false">IF(AND($A391="funding",ISNUMBER($D391)),$D391,"")</f>
        <v/>
      </c>
    </row>
    <row r="392" customFormat="false" ht="15" hidden="false" customHeight="false" outlineLevel="0" collapsed="false">
      <c r="P392" s="3" t="str">
        <f aca="false">IF(AND($A392="funding",ISNUMBER($D392)),$D392,"")</f>
        <v/>
      </c>
    </row>
    <row r="393" customFormat="false" ht="15" hidden="false" customHeight="false" outlineLevel="0" collapsed="false">
      <c r="P393" s="3" t="str">
        <f aca="false">IF(AND($A393="funding",ISNUMBER($D393)),$D393,"")</f>
        <v/>
      </c>
    </row>
    <row r="394" customFormat="false" ht="15" hidden="false" customHeight="false" outlineLevel="0" collapsed="false">
      <c r="P394" s="3" t="str">
        <f aca="false">IF(AND($A394="funding",ISNUMBER($D394)),$D394,"")</f>
        <v/>
      </c>
    </row>
    <row r="395" customFormat="false" ht="15" hidden="false" customHeight="false" outlineLevel="0" collapsed="false">
      <c r="P395" s="3" t="str">
        <f aca="false">IF(AND($A395="funding",ISNUMBER($D395)),$D395,"")</f>
        <v/>
      </c>
    </row>
    <row r="396" customFormat="false" ht="15" hidden="false" customHeight="false" outlineLevel="0" collapsed="false">
      <c r="P396" s="3" t="str">
        <f aca="false">IF(AND($A396="funding",ISNUMBER($D396)),$D396,"")</f>
        <v/>
      </c>
    </row>
    <row r="397" customFormat="false" ht="15" hidden="false" customHeight="false" outlineLevel="0" collapsed="false">
      <c r="P397" s="3" t="str">
        <f aca="false">IF(AND($A397="funding",ISNUMBER($D397)),$D397,"")</f>
        <v/>
      </c>
    </row>
    <row r="398" customFormat="false" ht="15" hidden="false" customHeight="false" outlineLevel="0" collapsed="false">
      <c r="P398" s="3" t="str">
        <f aca="false">IF(AND($A398="funding",ISNUMBER($D398)),$D398,"")</f>
        <v/>
      </c>
    </row>
    <row r="399" customFormat="false" ht="15" hidden="false" customHeight="false" outlineLevel="0" collapsed="false">
      <c r="P399" s="3" t="str">
        <f aca="false">IF(AND($A399="funding",ISNUMBER($D399)),$D399,"")</f>
        <v/>
      </c>
    </row>
    <row r="400" customFormat="false" ht="15" hidden="false" customHeight="false" outlineLevel="0" collapsed="false">
      <c r="P400" s="3" t="str">
        <f aca="false">IF(AND($A400="funding",ISNUMBER($D400)),$D400,"")</f>
        <v/>
      </c>
    </row>
    <row r="401" customFormat="false" ht="15" hidden="false" customHeight="false" outlineLevel="0" collapsed="false">
      <c r="P401" s="3" t="str">
        <f aca="false">IF(AND($A401="funding",ISNUMBER($D401)),$D401,"")</f>
        <v/>
      </c>
    </row>
    <row r="402" customFormat="false" ht="15" hidden="false" customHeight="false" outlineLevel="0" collapsed="false">
      <c r="P402" s="3" t="str">
        <f aca="false">IF(AND($A402="funding",ISNUMBER($D402)),$D402,"")</f>
        <v/>
      </c>
    </row>
    <row r="403" customFormat="false" ht="15" hidden="false" customHeight="false" outlineLevel="0" collapsed="false">
      <c r="P403" s="3" t="str">
        <f aca="false">IF(AND($A403="funding",ISNUMBER($D403)),$D403,"")</f>
        <v/>
      </c>
    </row>
    <row r="404" customFormat="false" ht="15" hidden="false" customHeight="false" outlineLevel="0" collapsed="false">
      <c r="P404" s="3" t="str">
        <f aca="false">IF(AND($A404="funding",ISNUMBER($D404)),$D404,"")</f>
        <v/>
      </c>
    </row>
    <row r="405" customFormat="false" ht="15" hidden="false" customHeight="false" outlineLevel="0" collapsed="false">
      <c r="P405" s="3" t="str">
        <f aca="false">IF(AND($A405="funding",ISNUMBER($D405)),$D405,"")</f>
        <v/>
      </c>
    </row>
    <row r="406" customFormat="false" ht="15" hidden="false" customHeight="false" outlineLevel="0" collapsed="false">
      <c r="P406" s="3" t="str">
        <f aca="false">IF(AND($A406="funding",ISNUMBER($D406)),$D406,"")</f>
        <v/>
      </c>
    </row>
    <row r="407" customFormat="false" ht="15" hidden="false" customHeight="false" outlineLevel="0" collapsed="false">
      <c r="P407" s="3" t="str">
        <f aca="false">IF(AND($A407="funding",ISNUMBER($D407)),$D407,"")</f>
        <v/>
      </c>
    </row>
    <row r="408" customFormat="false" ht="15" hidden="false" customHeight="false" outlineLevel="0" collapsed="false">
      <c r="P408" s="3" t="str">
        <f aca="false">IF(AND($A408="funding",ISNUMBER($D408)),$D408,"")</f>
        <v/>
      </c>
    </row>
    <row r="409" customFormat="false" ht="15" hidden="false" customHeight="false" outlineLevel="0" collapsed="false">
      <c r="P409" s="3" t="str">
        <f aca="false">IF(AND($A409="funding",ISNUMBER($D409)),$D409,"")</f>
        <v/>
      </c>
    </row>
    <row r="410" customFormat="false" ht="15" hidden="false" customHeight="false" outlineLevel="0" collapsed="false">
      <c r="P410" s="3" t="str">
        <f aca="false">IF(AND($A410="funding",ISNUMBER($D410)),$D410,"")</f>
        <v/>
      </c>
    </row>
    <row r="411" customFormat="false" ht="15" hidden="false" customHeight="false" outlineLevel="0" collapsed="false">
      <c r="P411" s="3" t="str">
        <f aca="false">IF(AND($A411="funding",ISNUMBER($D411)),$D411,"")</f>
        <v/>
      </c>
    </row>
    <row r="412" customFormat="false" ht="15" hidden="false" customHeight="false" outlineLevel="0" collapsed="false">
      <c r="P412" s="3" t="str">
        <f aca="false">IF(AND($A412="funding",ISNUMBER($D412)),$D412,"")</f>
        <v/>
      </c>
    </row>
    <row r="413" customFormat="false" ht="15" hidden="false" customHeight="false" outlineLevel="0" collapsed="false">
      <c r="P413" s="3" t="str">
        <f aca="false">IF(AND($A413="funding",ISNUMBER($D413)),$D413,"")</f>
        <v/>
      </c>
    </row>
    <row r="414" customFormat="false" ht="15" hidden="false" customHeight="false" outlineLevel="0" collapsed="false">
      <c r="P414" s="3" t="str">
        <f aca="false">IF(AND($A414="funding",ISNUMBER($D414)),$D414,"")</f>
        <v/>
      </c>
    </row>
    <row r="415" customFormat="false" ht="15" hidden="false" customHeight="false" outlineLevel="0" collapsed="false">
      <c r="P415" s="3" t="str">
        <f aca="false">IF(AND($A415="funding",ISNUMBER($D415)),$D415,"")</f>
        <v/>
      </c>
    </row>
    <row r="416" customFormat="false" ht="15" hidden="false" customHeight="false" outlineLevel="0" collapsed="false">
      <c r="P416" s="3" t="str">
        <f aca="false">IF(AND($A416="funding",ISNUMBER($D416)),$D416,"")</f>
        <v/>
      </c>
    </row>
    <row r="417" customFormat="false" ht="15" hidden="false" customHeight="false" outlineLevel="0" collapsed="false">
      <c r="P417" s="3" t="str">
        <f aca="false">IF(AND($A417="funding",ISNUMBER($D417)),$D417,"")</f>
        <v/>
      </c>
    </row>
    <row r="418" customFormat="false" ht="15" hidden="false" customHeight="false" outlineLevel="0" collapsed="false">
      <c r="P418" s="3" t="str">
        <f aca="false">IF(AND($A418="funding",ISNUMBER($D418)),$D418,"")</f>
        <v/>
      </c>
    </row>
    <row r="419" customFormat="false" ht="15" hidden="false" customHeight="false" outlineLevel="0" collapsed="false">
      <c r="P419" s="3" t="str">
        <f aca="false">IF(AND($A419="funding",ISNUMBER($D419)),$D419,"")</f>
        <v/>
      </c>
    </row>
    <row r="420" customFormat="false" ht="15" hidden="false" customHeight="false" outlineLevel="0" collapsed="false">
      <c r="P420" s="3" t="str">
        <f aca="false">IF(AND($A420="funding",ISNUMBER($D420)),$D420,"")</f>
        <v/>
      </c>
    </row>
    <row r="421" customFormat="false" ht="15" hidden="false" customHeight="false" outlineLevel="0" collapsed="false">
      <c r="P421" s="3" t="str">
        <f aca="false">IF(AND($A421="funding",ISNUMBER($D421)),$D421,"")</f>
        <v/>
      </c>
    </row>
    <row r="422" customFormat="false" ht="15" hidden="false" customHeight="false" outlineLevel="0" collapsed="false">
      <c r="P422" s="3" t="str">
        <f aca="false">IF(AND($A422="funding",ISNUMBER($D422)),$D422,"")</f>
        <v/>
      </c>
    </row>
    <row r="423" customFormat="false" ht="15" hidden="false" customHeight="false" outlineLevel="0" collapsed="false">
      <c r="P423" s="3" t="str">
        <f aca="false">IF(AND($A423="funding",ISNUMBER($D423)),$D423,"")</f>
        <v/>
      </c>
    </row>
    <row r="424" customFormat="false" ht="15" hidden="false" customHeight="false" outlineLevel="0" collapsed="false">
      <c r="P424" s="3" t="str">
        <f aca="false">IF(AND($A424="funding",ISNUMBER($D424)),$D424,"")</f>
        <v/>
      </c>
    </row>
    <row r="425" customFormat="false" ht="15" hidden="false" customHeight="false" outlineLevel="0" collapsed="false">
      <c r="P425" s="3" t="str">
        <f aca="false">IF(AND($A425="funding",ISNUMBER($D425)),$D425,"")</f>
        <v/>
      </c>
    </row>
    <row r="426" customFormat="false" ht="15" hidden="false" customHeight="false" outlineLevel="0" collapsed="false">
      <c r="P426" s="3" t="str">
        <f aca="false">IF(AND($A426="funding",ISNUMBER($D426)),$D426,"")</f>
        <v/>
      </c>
    </row>
    <row r="427" customFormat="false" ht="15" hidden="false" customHeight="false" outlineLevel="0" collapsed="false">
      <c r="P427" s="3" t="str">
        <f aca="false">IF(AND($A427="funding",ISNUMBER($D427)),$D427,"")</f>
        <v/>
      </c>
    </row>
    <row r="428" customFormat="false" ht="15" hidden="false" customHeight="false" outlineLevel="0" collapsed="false">
      <c r="P428" s="3" t="str">
        <f aca="false">IF(AND($A428="funding",ISNUMBER($D428)),$D428,"")</f>
        <v/>
      </c>
    </row>
    <row r="429" customFormat="false" ht="15" hidden="false" customHeight="false" outlineLevel="0" collapsed="false">
      <c r="P429" s="3" t="str">
        <f aca="false">IF(AND($A429="funding",ISNUMBER($D429)),$D429,"")</f>
        <v/>
      </c>
    </row>
    <row r="430" customFormat="false" ht="15" hidden="false" customHeight="false" outlineLevel="0" collapsed="false">
      <c r="P430" s="3" t="str">
        <f aca="false">IF(AND($A430="funding",ISNUMBER($D430)),$D430,"")</f>
        <v/>
      </c>
    </row>
    <row r="431" customFormat="false" ht="15" hidden="false" customHeight="false" outlineLevel="0" collapsed="false">
      <c r="P431" s="3" t="str">
        <f aca="false">IF(AND($A431="funding",ISNUMBER($D431)),$D431,"")</f>
        <v/>
      </c>
    </row>
    <row r="432" customFormat="false" ht="15" hidden="false" customHeight="false" outlineLevel="0" collapsed="false">
      <c r="P432" s="3" t="str">
        <f aca="false">IF(AND($A432="funding",ISNUMBER($D432)),$D432,"")</f>
        <v/>
      </c>
    </row>
    <row r="433" customFormat="false" ht="15" hidden="false" customHeight="false" outlineLevel="0" collapsed="false">
      <c r="P433" s="3" t="str">
        <f aca="false">IF(AND($A433="funding",ISNUMBER($D433)),$D433,"")</f>
        <v/>
      </c>
    </row>
    <row r="434" customFormat="false" ht="15" hidden="false" customHeight="false" outlineLevel="0" collapsed="false">
      <c r="P434" s="3" t="str">
        <f aca="false">IF(AND($A434="funding",ISNUMBER($D434)),$D434,"")</f>
        <v/>
      </c>
    </row>
    <row r="435" customFormat="false" ht="15" hidden="false" customHeight="false" outlineLevel="0" collapsed="false">
      <c r="P435" s="3" t="str">
        <f aca="false">IF(AND($A435="funding",ISNUMBER($D435)),$D435,"")</f>
        <v/>
      </c>
    </row>
    <row r="436" customFormat="false" ht="15" hidden="false" customHeight="false" outlineLevel="0" collapsed="false">
      <c r="P436" s="3" t="str">
        <f aca="false">IF(AND($A436="funding",ISNUMBER($D436)),$D436,"")</f>
        <v/>
      </c>
    </row>
    <row r="437" customFormat="false" ht="15" hidden="false" customHeight="false" outlineLevel="0" collapsed="false">
      <c r="P437" s="3" t="str">
        <f aca="false">IF(AND($A437="funding",ISNUMBER($D437)),$D437,"")</f>
        <v/>
      </c>
    </row>
    <row r="438" customFormat="false" ht="15" hidden="false" customHeight="false" outlineLevel="0" collapsed="false">
      <c r="P438" s="3" t="str">
        <f aca="false">IF(AND($A438="funding",ISNUMBER($D438)),$D438,"")</f>
        <v/>
      </c>
    </row>
    <row r="439" customFormat="false" ht="15" hidden="false" customHeight="false" outlineLevel="0" collapsed="false">
      <c r="P439" s="3" t="str">
        <f aca="false">IF(AND($A439="funding",ISNUMBER($D439)),$D439,"")</f>
        <v/>
      </c>
    </row>
    <row r="440" customFormat="false" ht="15" hidden="false" customHeight="false" outlineLevel="0" collapsed="false">
      <c r="P440" s="3" t="str">
        <f aca="false">IF(AND($A440="funding",ISNUMBER($D440)),$D440,"")</f>
        <v/>
      </c>
    </row>
    <row r="441" customFormat="false" ht="15" hidden="false" customHeight="false" outlineLevel="0" collapsed="false">
      <c r="P441" s="3" t="str">
        <f aca="false">IF(AND($A441="funding",ISNUMBER($D441)),$D441,"")</f>
        <v/>
      </c>
    </row>
    <row r="442" customFormat="false" ht="15" hidden="false" customHeight="false" outlineLevel="0" collapsed="false">
      <c r="P442" s="3" t="str">
        <f aca="false">IF(AND($A442="funding",ISNUMBER($D442)),$D442,"")</f>
        <v/>
      </c>
    </row>
    <row r="443" customFormat="false" ht="15" hidden="false" customHeight="false" outlineLevel="0" collapsed="false">
      <c r="P443" s="3" t="str">
        <f aca="false">IF(AND($A443="funding",ISNUMBER($D443)),$D443,"")</f>
        <v/>
      </c>
    </row>
    <row r="444" customFormat="false" ht="15" hidden="false" customHeight="false" outlineLevel="0" collapsed="false">
      <c r="P444" s="3" t="str">
        <f aca="false">IF(AND($A444="funding",ISNUMBER($D444)),$D444,"")</f>
        <v/>
      </c>
    </row>
    <row r="445" customFormat="false" ht="15" hidden="false" customHeight="false" outlineLevel="0" collapsed="false">
      <c r="P445" s="3" t="str">
        <f aca="false">IF(AND($A445="funding",ISNUMBER($D445)),$D445,"")</f>
        <v/>
      </c>
    </row>
    <row r="446" customFormat="false" ht="15" hidden="false" customHeight="false" outlineLevel="0" collapsed="false">
      <c r="P446" s="3" t="str">
        <f aca="false">IF(AND($A446="funding",ISNUMBER($D446)),$D446,"")</f>
        <v/>
      </c>
    </row>
    <row r="447" customFormat="false" ht="15" hidden="false" customHeight="false" outlineLevel="0" collapsed="false">
      <c r="P447" s="3" t="str">
        <f aca="false">IF(AND($A447="funding",ISNUMBER($D447)),$D447,"")</f>
        <v/>
      </c>
    </row>
    <row r="448" customFormat="false" ht="15" hidden="false" customHeight="false" outlineLevel="0" collapsed="false">
      <c r="P448" s="3" t="str">
        <f aca="false">IF(AND($A448="funding",ISNUMBER($D448)),$D448,"")</f>
        <v/>
      </c>
    </row>
    <row r="449" customFormat="false" ht="15" hidden="false" customHeight="false" outlineLevel="0" collapsed="false">
      <c r="P449" s="3" t="str">
        <f aca="false">IF(AND($A449="funding",ISNUMBER($D449)),$D449,"")</f>
        <v/>
      </c>
    </row>
    <row r="450" customFormat="false" ht="15" hidden="false" customHeight="false" outlineLevel="0" collapsed="false">
      <c r="P450" s="3" t="str">
        <f aca="false">IF(AND($A450="funding",ISNUMBER($D450)),$D450,"")</f>
        <v/>
      </c>
    </row>
    <row r="451" customFormat="false" ht="15" hidden="false" customHeight="false" outlineLevel="0" collapsed="false">
      <c r="P451" s="3" t="str">
        <f aca="false">IF(AND($A451="funding",ISNUMBER($D451)),$D451,"")</f>
        <v/>
      </c>
    </row>
    <row r="452" customFormat="false" ht="15" hidden="false" customHeight="false" outlineLevel="0" collapsed="false">
      <c r="P452" s="3" t="str">
        <f aca="false">IF(AND($A452="funding",ISNUMBER($D452)),$D452,"")</f>
        <v/>
      </c>
    </row>
    <row r="453" customFormat="false" ht="15" hidden="false" customHeight="false" outlineLevel="0" collapsed="false">
      <c r="P453" s="3" t="str">
        <f aca="false">IF(AND($A453="funding",ISNUMBER($D453)),$D453,"")</f>
        <v/>
      </c>
    </row>
    <row r="454" customFormat="false" ht="15" hidden="false" customHeight="false" outlineLevel="0" collapsed="false">
      <c r="P454" s="3" t="str">
        <f aca="false">IF(AND($A454="funding",ISNUMBER($D454)),$D454,"")</f>
        <v/>
      </c>
    </row>
    <row r="455" customFormat="false" ht="15" hidden="false" customHeight="false" outlineLevel="0" collapsed="false">
      <c r="P455" s="3" t="str">
        <f aca="false">IF(AND($A455="funding",ISNUMBER($D455)),$D455,"")</f>
        <v/>
      </c>
    </row>
    <row r="456" customFormat="false" ht="15" hidden="false" customHeight="false" outlineLevel="0" collapsed="false">
      <c r="P456" s="3" t="str">
        <f aca="false">IF(AND($A456="funding",ISNUMBER($D456)),$D456,"")</f>
        <v/>
      </c>
    </row>
    <row r="457" customFormat="false" ht="15" hidden="false" customHeight="false" outlineLevel="0" collapsed="false">
      <c r="P457" s="3" t="str">
        <f aca="false">IF(AND($A457="funding",ISNUMBER($D457)),$D457,"")</f>
        <v/>
      </c>
    </row>
    <row r="458" customFormat="false" ht="15" hidden="false" customHeight="false" outlineLevel="0" collapsed="false">
      <c r="P458" s="3" t="str">
        <f aca="false">IF(AND($A458="funding",ISNUMBER($D458)),$D458,"")</f>
        <v/>
      </c>
    </row>
    <row r="459" customFormat="false" ht="15" hidden="false" customHeight="false" outlineLevel="0" collapsed="false">
      <c r="P459" s="3" t="str">
        <f aca="false">IF(AND($A459="funding",ISNUMBER($D459)),$D459,"")</f>
        <v/>
      </c>
    </row>
    <row r="460" customFormat="false" ht="15" hidden="false" customHeight="false" outlineLevel="0" collapsed="false">
      <c r="P460" s="3" t="str">
        <f aca="false">IF(AND($A460="funding",ISNUMBER($D460)),$D460,"")</f>
        <v/>
      </c>
    </row>
    <row r="461" customFormat="false" ht="15" hidden="false" customHeight="false" outlineLevel="0" collapsed="false">
      <c r="P461" s="3" t="str">
        <f aca="false">IF(AND($A461="funding",ISNUMBER($D461)),$D461,"")</f>
        <v/>
      </c>
    </row>
    <row r="462" customFormat="false" ht="15" hidden="false" customHeight="false" outlineLevel="0" collapsed="false">
      <c r="P462" s="3" t="str">
        <f aca="false">IF(AND($A462="funding",ISNUMBER($D462)),$D462,"")</f>
        <v/>
      </c>
    </row>
    <row r="463" customFormat="false" ht="15" hidden="false" customHeight="false" outlineLevel="0" collapsed="false">
      <c r="P463" s="3" t="str">
        <f aca="false">IF(AND($A463="funding",ISNUMBER($D463)),$D463,"")</f>
        <v/>
      </c>
    </row>
    <row r="464" customFormat="false" ht="15" hidden="false" customHeight="false" outlineLevel="0" collapsed="false">
      <c r="P464" s="3" t="str">
        <f aca="false">IF(AND($A464="funding",ISNUMBER($D464)),$D464,"")</f>
        <v/>
      </c>
    </row>
    <row r="465" customFormat="false" ht="15" hidden="false" customHeight="false" outlineLevel="0" collapsed="false">
      <c r="P465" s="3" t="str">
        <f aca="false">IF(AND($A465="funding",ISNUMBER($D465)),$D465,"")</f>
        <v/>
      </c>
    </row>
    <row r="466" customFormat="false" ht="15" hidden="false" customHeight="false" outlineLevel="0" collapsed="false">
      <c r="P466" s="3" t="str">
        <f aca="false">IF(AND($A466="funding",ISNUMBER($D466)),$D466,"")</f>
        <v/>
      </c>
    </row>
    <row r="467" customFormat="false" ht="15" hidden="false" customHeight="false" outlineLevel="0" collapsed="false">
      <c r="P467" s="3" t="str">
        <f aca="false">IF(AND($A467="funding",ISNUMBER($D467)),$D467,"")</f>
        <v/>
      </c>
    </row>
    <row r="468" customFormat="false" ht="15" hidden="false" customHeight="false" outlineLevel="0" collapsed="false">
      <c r="P468" s="3" t="str">
        <f aca="false">IF(AND($A468="funding",ISNUMBER($D468)),$D468,"")</f>
        <v/>
      </c>
    </row>
    <row r="469" customFormat="false" ht="15" hidden="false" customHeight="false" outlineLevel="0" collapsed="false">
      <c r="P469" s="3" t="str">
        <f aca="false">IF(AND($A469="funding",ISNUMBER($D469)),$D469,"")</f>
        <v/>
      </c>
    </row>
    <row r="470" customFormat="false" ht="15" hidden="false" customHeight="false" outlineLevel="0" collapsed="false">
      <c r="P470" s="3" t="str">
        <f aca="false">IF(AND($A470="funding",ISNUMBER($D470)),$D470,"")</f>
        <v/>
      </c>
    </row>
    <row r="471" customFormat="false" ht="15" hidden="false" customHeight="false" outlineLevel="0" collapsed="false">
      <c r="P471" s="3" t="str">
        <f aca="false">IF(AND($A471="funding",ISNUMBER($D471)),$D471,"")</f>
        <v/>
      </c>
    </row>
    <row r="472" customFormat="false" ht="15" hidden="false" customHeight="false" outlineLevel="0" collapsed="false">
      <c r="P472" s="3" t="str">
        <f aca="false">IF(AND($A472="funding",ISNUMBER($D472)),$D472,"")</f>
        <v/>
      </c>
    </row>
    <row r="473" customFormat="false" ht="15" hidden="false" customHeight="false" outlineLevel="0" collapsed="false">
      <c r="P473" s="3" t="str">
        <f aca="false">IF(AND($A473="funding",ISNUMBER($D473)),$D473,"")</f>
        <v/>
      </c>
    </row>
    <row r="474" customFormat="false" ht="15" hidden="false" customHeight="false" outlineLevel="0" collapsed="false">
      <c r="P474" s="3" t="str">
        <f aca="false">IF(AND($A474="funding",ISNUMBER($D474)),$D474,"")</f>
        <v/>
      </c>
    </row>
    <row r="475" customFormat="false" ht="15" hidden="false" customHeight="false" outlineLevel="0" collapsed="false">
      <c r="P475" s="3" t="str">
        <f aca="false">IF(AND($A475="funding",ISNUMBER($D475)),$D475,"")</f>
        <v/>
      </c>
    </row>
    <row r="476" customFormat="false" ht="15" hidden="false" customHeight="false" outlineLevel="0" collapsed="false">
      <c r="P476" s="3" t="str">
        <f aca="false">IF(AND($A476="funding",ISNUMBER($D476)),$D476,"")</f>
        <v/>
      </c>
    </row>
    <row r="477" customFormat="false" ht="15" hidden="false" customHeight="false" outlineLevel="0" collapsed="false">
      <c r="P477" s="3" t="str">
        <f aca="false">IF(AND($A477="funding",ISNUMBER($D477)),$D477,"")</f>
        <v/>
      </c>
    </row>
    <row r="478" customFormat="false" ht="15" hidden="false" customHeight="false" outlineLevel="0" collapsed="false">
      <c r="P478" s="3" t="str">
        <f aca="false">IF(AND($A478="funding",ISNUMBER($D478)),$D478,"")</f>
        <v/>
      </c>
    </row>
    <row r="479" customFormat="false" ht="15" hidden="false" customHeight="false" outlineLevel="0" collapsed="false">
      <c r="P479" s="3" t="str">
        <f aca="false">IF(AND($A479="funding",ISNUMBER($D479)),$D479,"")</f>
        <v/>
      </c>
    </row>
    <row r="480" customFormat="false" ht="15" hidden="false" customHeight="false" outlineLevel="0" collapsed="false">
      <c r="P480" s="3" t="str">
        <f aca="false">IF(AND($A480="funding",ISNUMBER($D480)),$D480,"")</f>
        <v/>
      </c>
    </row>
    <row r="481" customFormat="false" ht="15" hidden="false" customHeight="false" outlineLevel="0" collapsed="false">
      <c r="P481" s="3" t="str">
        <f aca="false">IF(AND($A481="funding",ISNUMBER($D481)),$D481,"")</f>
        <v/>
      </c>
    </row>
    <row r="482" customFormat="false" ht="15" hidden="false" customHeight="false" outlineLevel="0" collapsed="false">
      <c r="P482" s="3" t="str">
        <f aca="false">IF(AND($A482="funding",ISNUMBER($D482)),$D482,"")</f>
        <v/>
      </c>
    </row>
    <row r="483" customFormat="false" ht="15" hidden="false" customHeight="false" outlineLevel="0" collapsed="false">
      <c r="P483" s="3" t="str">
        <f aca="false">IF(AND($A483="funding",ISNUMBER($D483)),$D483,"")</f>
        <v/>
      </c>
    </row>
    <row r="484" customFormat="false" ht="15" hidden="false" customHeight="false" outlineLevel="0" collapsed="false">
      <c r="P484" s="3" t="str">
        <f aca="false">IF(AND($A484="funding",ISNUMBER($D484)),$D484,"")</f>
        <v/>
      </c>
    </row>
    <row r="485" customFormat="false" ht="15" hidden="false" customHeight="false" outlineLevel="0" collapsed="false">
      <c r="P485" s="3" t="str">
        <f aca="false">IF(AND($A485="funding",ISNUMBER($D485)),$D485,"")</f>
        <v/>
      </c>
    </row>
    <row r="486" customFormat="false" ht="15" hidden="false" customHeight="false" outlineLevel="0" collapsed="false">
      <c r="P486" s="3" t="str">
        <f aca="false">IF(AND($A486="funding",ISNUMBER($D486)),$D486,"")</f>
        <v/>
      </c>
    </row>
    <row r="487" customFormat="false" ht="15" hidden="false" customHeight="false" outlineLevel="0" collapsed="false">
      <c r="P487" s="3" t="str">
        <f aca="false">IF(AND($A487="funding",ISNUMBER($D487)),$D487,"")</f>
        <v/>
      </c>
    </row>
    <row r="488" customFormat="false" ht="15" hidden="false" customHeight="false" outlineLevel="0" collapsed="false">
      <c r="P488" s="3" t="str">
        <f aca="false">IF(AND($A488="funding",ISNUMBER($D488)),$D488,"")</f>
        <v/>
      </c>
    </row>
    <row r="489" customFormat="false" ht="15" hidden="false" customHeight="false" outlineLevel="0" collapsed="false">
      <c r="P489" s="3" t="str">
        <f aca="false">IF(AND($A489="funding",ISNUMBER($D489)),$D489,"")</f>
        <v/>
      </c>
    </row>
    <row r="490" customFormat="false" ht="15" hidden="false" customHeight="false" outlineLevel="0" collapsed="false">
      <c r="P490" s="3" t="str">
        <f aca="false">IF(AND($A490="funding",ISNUMBER($D490)),$D490,"")</f>
        <v/>
      </c>
    </row>
    <row r="491" customFormat="false" ht="15" hidden="false" customHeight="false" outlineLevel="0" collapsed="false">
      <c r="P491" s="3" t="str">
        <f aca="false">IF(AND($A491="funding",ISNUMBER($D491)),$D491,"")</f>
        <v/>
      </c>
    </row>
    <row r="492" customFormat="false" ht="15" hidden="false" customHeight="false" outlineLevel="0" collapsed="false">
      <c r="P492" s="3" t="str">
        <f aca="false">IF(AND($A492="funding",ISNUMBER($D492)),$D492,"")</f>
        <v/>
      </c>
    </row>
    <row r="493" customFormat="false" ht="15" hidden="false" customHeight="false" outlineLevel="0" collapsed="false">
      <c r="P493" s="3" t="str">
        <f aca="false">IF(AND($A493="funding",ISNUMBER($D493)),$D493,"")</f>
        <v/>
      </c>
    </row>
    <row r="494" customFormat="false" ht="15" hidden="false" customHeight="false" outlineLevel="0" collapsed="false">
      <c r="P494" s="3" t="str">
        <f aca="false">IF(AND($A494="funding",ISNUMBER($D494)),$D494,"")</f>
        <v/>
      </c>
    </row>
    <row r="495" customFormat="false" ht="15" hidden="false" customHeight="false" outlineLevel="0" collapsed="false">
      <c r="P495" s="3" t="str">
        <f aca="false">IF(AND($A495="funding",ISNUMBER($D495)),$D495,"")</f>
        <v/>
      </c>
    </row>
    <row r="496" customFormat="false" ht="15" hidden="false" customHeight="false" outlineLevel="0" collapsed="false">
      <c r="P496" s="3" t="str">
        <f aca="false">IF(AND($A496="funding",ISNUMBER($D496)),$D496,"")</f>
        <v/>
      </c>
    </row>
    <row r="497" customFormat="false" ht="15" hidden="false" customHeight="false" outlineLevel="0" collapsed="false">
      <c r="P497" s="3" t="str">
        <f aca="false">IF(AND($A497="funding",ISNUMBER($D497)),$D497,"")</f>
        <v/>
      </c>
    </row>
    <row r="498" customFormat="false" ht="15" hidden="false" customHeight="false" outlineLevel="0" collapsed="false">
      <c r="P498" s="3" t="str">
        <f aca="false">IF(AND($A498="funding",ISNUMBER($D498)),$D498,"")</f>
        <v/>
      </c>
    </row>
    <row r="499" customFormat="false" ht="15" hidden="false" customHeight="false" outlineLevel="0" collapsed="false">
      <c r="P499" s="3" t="str">
        <f aca="false">IF(AND($A499="funding",ISNUMBER($D499)),$D499,"")</f>
        <v/>
      </c>
    </row>
    <row r="500" customFormat="false" ht="15" hidden="false" customHeight="false" outlineLevel="0" collapsed="false">
      <c r="P500" s="3" t="str">
        <f aca="false">IF(AND($A500="funding",ISNUMBER($D500)),$D500,"")</f>
        <v/>
      </c>
    </row>
    <row r="501" customFormat="false" ht="15" hidden="false" customHeight="false" outlineLevel="0" collapsed="false">
      <c r="P501" s="3" t="str">
        <f aca="false">IF(AND($A501="funding",ISNUMBER($D501)),$D501,"")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5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6" t="s">
        <v>51</v>
      </c>
    </row>
    <row r="5" customFormat="false" ht="15" hidden="false" customHeight="false" outlineLevel="0" collapsed="false">
      <c r="A5" s="7" t="s">
        <v>52</v>
      </c>
      <c r="B5" s="3" t="n">
        <f aca="false">COUNTIF(Deals!$A$2:$A$501,"funding")</f>
        <v>2</v>
      </c>
    </row>
    <row r="6" customFormat="false" ht="15" hidden="false" customHeight="false" outlineLevel="0" collapsed="false">
      <c r="A6" s="7" t="s">
        <v>53</v>
      </c>
      <c r="B6" s="3" t="n">
        <f aca="false">COUNTIF(Deals!$A$2:$A$501,"acquisition")</f>
        <v>1</v>
      </c>
    </row>
    <row r="7" customFormat="false" ht="15" hidden="false" customHeight="false" outlineLevel="0" collapsed="false">
      <c r="A7" s="7" t="s">
        <v>54</v>
      </c>
      <c r="B7" s="3" t="n">
        <f aca="false">COUNTIFS(Deals!$A$2:$A$501,"funding",Deals!$D$2:$D$501,"")</f>
        <v>0</v>
      </c>
    </row>
    <row r="8" customFormat="false" ht="15" hidden="false" customHeight="false" outlineLevel="0" collapsed="false">
      <c r="A8" s="7" t="s">
        <v>55</v>
      </c>
      <c r="B8" s="4" t="n">
        <f aca="false">SUMIFS(Deals!$D$2:$D$501,Deals!$A$2:$A$501,"funding")</f>
        <v>14500000</v>
      </c>
    </row>
    <row r="9" customFormat="false" ht="15" hidden="false" customHeight="false" outlineLevel="0" collapsed="false">
      <c r="A9" s="7" t="s">
        <v>56</v>
      </c>
      <c r="B9" s="4" t="n">
        <f aca="false">IF(COUNT(Deals!$P$2:$P$501)=0,"n/a",MEDIAN(Deals!$P$2:$P$501))</f>
        <v>7250000</v>
      </c>
    </row>
    <row r="10" customFormat="false" ht="15" hidden="false" customHeight="false" outlineLevel="0" collapsed="false">
      <c r="A10" s="8" t="s">
        <v>57</v>
      </c>
      <c r="B10" s="9" t="n">
        <v>0</v>
      </c>
    </row>
    <row r="11" customFormat="false" ht="15" hidden="false" customHeight="false" outlineLevel="0" collapsed="false">
      <c r="A11" s="7" t="s">
        <v>58</v>
      </c>
      <c r="B11" s="10" t="str">
        <f aca="false">IF(OR($B$10="",$B$10=0),"n/a",($B$8-$B$10)/$B$10)</f>
        <v>n/a</v>
      </c>
    </row>
    <row r="13" customFormat="false" ht="15" hidden="false" customHeight="false" outlineLevel="0" collapsed="false">
      <c r="A13" s="6" t="s">
        <v>59</v>
      </c>
      <c r="B13" s="1" t="s">
        <v>60</v>
      </c>
      <c r="C13" s="1" t="s">
        <v>61</v>
      </c>
    </row>
    <row r="14" customFormat="false" ht="15" hidden="false" customHeight="false" outlineLevel="0" collapsed="false">
      <c r="A14" s="7" t="s">
        <v>62</v>
      </c>
      <c r="B14" s="3" t="n">
        <f aca="false">COUNTIFS(Deals!$A$2:$A$501,"funding",Deals!$E$2:$E$501,$A14)</f>
        <v>0</v>
      </c>
      <c r="C14" s="4" t="n">
        <f aca="false">SUMIFS(Deals!$D$2:$D$501,Deals!$A$2:$A$501,"funding",Deals!$E$2:$E$501,$A14)</f>
        <v>0</v>
      </c>
    </row>
    <row r="15" customFormat="false" ht="15" hidden="false" customHeight="false" outlineLevel="0" collapsed="false">
      <c r="A15" s="7" t="s">
        <v>30</v>
      </c>
      <c r="B15" s="3" t="n">
        <f aca="false">COUNTIFS(Deals!$A$2:$A$501,"funding",Deals!$E$2:$E$501,$A15)</f>
        <v>1</v>
      </c>
      <c r="C15" s="4" t="n">
        <f aca="false">SUMIFS(Deals!$D$2:$D$501,Deals!$A$2:$A$501,"funding",Deals!$E$2:$E$501,$A15)</f>
        <v>2500000</v>
      </c>
    </row>
    <row r="16" customFormat="false" ht="15" hidden="false" customHeight="false" outlineLevel="0" collapsed="false">
      <c r="A16" s="7" t="s">
        <v>18</v>
      </c>
      <c r="B16" s="3" t="n">
        <f aca="false">COUNTIFS(Deals!$A$2:$A$501,"funding",Deals!$E$2:$E$501,$A16)</f>
        <v>1</v>
      </c>
      <c r="C16" s="4" t="n">
        <f aca="false">SUMIFS(Deals!$D$2:$D$501,Deals!$A$2:$A$501,"funding",Deals!$E$2:$E$501,$A16)</f>
        <v>12000000</v>
      </c>
    </row>
    <row r="17" customFormat="false" ht="15" hidden="false" customHeight="false" outlineLevel="0" collapsed="false">
      <c r="A17" s="7" t="s">
        <v>63</v>
      </c>
      <c r="B17" s="3" t="n">
        <f aca="false">COUNTIFS(Deals!$A$2:$A$501,"funding",Deals!$E$2:$E$501,$A17)</f>
        <v>0</v>
      </c>
      <c r="C17" s="4" t="n">
        <f aca="false">SUMIFS(Deals!$D$2:$D$501,Deals!$A$2:$A$501,"funding",Deals!$E$2:$E$501,$A17)</f>
        <v>0</v>
      </c>
    </row>
    <row r="18" customFormat="false" ht="15" hidden="false" customHeight="false" outlineLevel="0" collapsed="false">
      <c r="A18" s="7" t="s">
        <v>64</v>
      </c>
      <c r="B18" s="3" t="n">
        <f aca="false">COUNTIFS(Deals!$A$2:$A$501,"funding",Deals!$E$2:$E$501,$A18)</f>
        <v>0</v>
      </c>
      <c r="C18" s="4" t="n">
        <f aca="false">SUMIFS(Deals!$D$2:$D$501,Deals!$A$2:$A$501,"funding",Deals!$E$2:$E$501,$A18)</f>
        <v>0</v>
      </c>
    </row>
    <row r="19" customFormat="false" ht="15" hidden="false" customHeight="false" outlineLevel="0" collapsed="false">
      <c r="A19" s="7" t="s">
        <v>65</v>
      </c>
      <c r="B19" s="3" t="n">
        <f aca="false">COUNTIFS(Deals!$A$2:$A$501,"funding",Deals!$E$2:$E$501,$A19)</f>
        <v>0</v>
      </c>
      <c r="C19" s="4" t="n">
        <f aca="false">SUMIFS(Deals!$D$2:$D$501,Deals!$A$2:$A$501,"funding",Deals!$E$2:$E$501,$A19)</f>
        <v>0</v>
      </c>
    </row>
    <row r="20" customFormat="false" ht="15" hidden="false" customHeight="false" outlineLevel="0" collapsed="false">
      <c r="A20" s="7" t="s">
        <v>66</v>
      </c>
      <c r="B20" s="3" t="n">
        <f aca="false">COUNTIFS(Deals!$A$2:$A$501,"funding",Deals!$E$2:$E$501,$A20)</f>
        <v>0</v>
      </c>
      <c r="C20" s="4" t="n">
        <f aca="false">SUMIFS(Deals!$D$2:$D$501,Deals!$A$2:$A$501,"funding",Deals!$E$2:$E$501,$A20)</f>
        <v>0</v>
      </c>
    </row>
    <row r="21" customFormat="false" ht="15" hidden="false" customHeight="false" outlineLevel="0" collapsed="false">
      <c r="A21" s="8" t="s">
        <v>67</v>
      </c>
      <c r="B21" s="8" t="n">
        <f aca="false">SUM(B14:B20)</f>
        <v>2</v>
      </c>
      <c r="C21" s="11" t="n">
        <f aca="false">SUM(C14:C20)</f>
        <v>14500000</v>
      </c>
    </row>
    <row r="23" customFormat="false" ht="15" hidden="false" customHeight="false" outlineLevel="0" collapsed="false">
      <c r="A23" s="6" t="s">
        <v>68</v>
      </c>
      <c r="B23" s="1" t="s">
        <v>60</v>
      </c>
    </row>
    <row r="24" customFormat="false" ht="15" hidden="false" customHeight="false" outlineLevel="0" collapsed="false">
      <c r="A24" s="7" t="s">
        <v>19</v>
      </c>
      <c r="B24" s="3" t="n">
        <f aca="false">COUNTIFS(Deals!$A$2:$A$501,"funding",Deals!$F$2:$F$501,$A24)</f>
        <v>2</v>
      </c>
    </row>
    <row r="25" customFormat="false" ht="15" hidden="false" customHeight="false" outlineLevel="0" collapsed="false">
      <c r="A25" s="7" t="s">
        <v>69</v>
      </c>
      <c r="B25" s="3" t="n">
        <f aca="false">COUNTIFS(Deals!$A$2:$A$501,"funding",Deals!$F$2:$F$501,$A25)</f>
        <v>0</v>
      </c>
    </row>
    <row r="26" customFormat="false" ht="15" hidden="false" customHeight="false" outlineLevel="0" collapsed="false">
      <c r="A26" s="7" t="s">
        <v>70</v>
      </c>
      <c r="B26" s="3" t="n">
        <f aca="false">COUNTIFS(Deals!$A$2:$A$501,"funding",Deals!$F$2:$F$501,$A26)</f>
        <v>0</v>
      </c>
    </row>
    <row r="27" customFormat="false" ht="15" hidden="false" customHeight="false" outlineLevel="0" collapsed="false">
      <c r="A27" s="7" t="s">
        <v>71</v>
      </c>
      <c r="B27" s="3" t="n">
        <f aca="false">COUNTIFS(Deals!$A$2:$A$501,"funding",Deals!$F$2:$F$501,$A27)</f>
        <v>0</v>
      </c>
    </row>
    <row r="29" customFormat="false" ht="15" hidden="false" customHeight="false" outlineLevel="0" collapsed="false">
      <c r="A29" s="6" t="s">
        <v>72</v>
      </c>
      <c r="B29" s="1" t="s">
        <v>60</v>
      </c>
      <c r="C29" s="1" t="s">
        <v>61</v>
      </c>
    </row>
    <row r="30" customFormat="false" ht="15" hidden="false" customHeight="false" outlineLevel="0" collapsed="false">
      <c r="A30" s="7" t="s">
        <v>20</v>
      </c>
      <c r="B30" s="3" t="n">
        <f aca="false">COUNTIFS(Deals!$A$2:$A$501,"funding",Deals!$G$2:$G$501,$A30)</f>
        <v>1</v>
      </c>
      <c r="C30" s="4" t="n">
        <f aca="false">SUMIFS(Deals!$D$2:$D$501,Deals!$A$2:$A$501,"funding",Deals!$G$2:$G$501,$A30)</f>
        <v>12000000</v>
      </c>
    </row>
    <row r="31" customFormat="false" ht="15" hidden="false" customHeight="false" outlineLevel="0" collapsed="false">
      <c r="A31" s="7" t="s">
        <v>31</v>
      </c>
      <c r="B31" s="3" t="n">
        <f aca="false">COUNTIFS(Deals!$A$2:$A$501,"funding",Deals!$G$2:$G$501,$A31)</f>
        <v>1</v>
      </c>
      <c r="C31" s="4" t="n">
        <f aca="false">SUMIFS(Deals!$D$2:$D$501,Deals!$A$2:$A$501,"funding",Deals!$G$2:$G$501,$A31)</f>
        <v>2500000</v>
      </c>
    </row>
    <row r="32" customFormat="false" ht="15" hidden="false" customHeight="false" outlineLevel="0" collapsed="false">
      <c r="A32" s="7" t="s">
        <v>73</v>
      </c>
      <c r="B32" s="3" t="n">
        <f aca="false">COUNTIFS(Deals!$A$2:$A$501,"funding",Deals!$G$2:$G$501,$A32)</f>
        <v>0</v>
      </c>
      <c r="C32" s="4" t="n">
        <f aca="false">SUMIFS(Deals!$D$2:$D$501,Deals!$A$2:$A$501,"funding",Deals!$G$2:$G$501,$A32)</f>
        <v>0</v>
      </c>
    </row>
    <row r="33" customFormat="false" ht="15" hidden="false" customHeight="false" outlineLevel="0" collapsed="false">
      <c r="A33" s="7" t="s">
        <v>74</v>
      </c>
      <c r="B33" s="3" t="n">
        <f aca="false">COUNTIFS(Deals!$A$2:$A$501,"funding",Deals!$G$2:$G$501,$A33)</f>
        <v>0</v>
      </c>
      <c r="C33" s="4" t="n">
        <f aca="false">SUMIFS(Deals!$D$2:$D$501,Deals!$A$2:$A$501,"funding",Deals!$G$2:$G$501,$A33)</f>
        <v>0</v>
      </c>
    </row>
    <row r="34" customFormat="false" ht="15" hidden="false" customHeight="false" outlineLevel="0" collapsed="false">
      <c r="A34" s="7" t="s">
        <v>75</v>
      </c>
      <c r="B34" s="3" t="n">
        <f aca="false">COUNTIFS(Deals!$A$2:$A$501,"funding",Deals!$G$2:$G$501,$A34)</f>
        <v>0</v>
      </c>
      <c r="C34" s="4" t="n">
        <f aca="false">SUMIFS(Deals!$D$2:$D$501,Deals!$A$2:$A$501,"funding",Deals!$G$2:$G$501,$A34)</f>
        <v>0</v>
      </c>
    </row>
    <row r="35" customFormat="false" ht="15" hidden="false" customHeight="false" outlineLevel="0" collapsed="false">
      <c r="A35" s="7" t="s">
        <v>76</v>
      </c>
      <c r="B35" s="3" t="n">
        <f aca="false">COUNTIFS(Deals!$A$2:$A$501,"funding",Deals!$G$2:$G$501,$A35)</f>
        <v>0</v>
      </c>
      <c r="C35" s="4" t="n">
        <f aca="false">SUMIFS(Deals!$D$2:$D$501,Deals!$A$2:$A$501,"funding",Deals!$G$2:$G$501,$A35)</f>
        <v>0</v>
      </c>
    </row>
    <row r="36" customFormat="false" ht="15" hidden="false" customHeight="false" outlineLevel="0" collapsed="false">
      <c r="A36" s="7" t="s">
        <v>77</v>
      </c>
      <c r="B36" s="3" t="n">
        <f aca="false">COUNTIFS(Deals!$A$2:$A$501,"funding",Deals!$G$2:$G$501,$A36)</f>
        <v>0</v>
      </c>
      <c r="C36" s="4" t="n">
        <f aca="false">SUMIFS(Deals!$D$2:$D$501,Deals!$A$2:$A$501,"funding",Deals!$G$2:$G$501,$A36)</f>
        <v>0</v>
      </c>
    </row>
    <row r="37" customFormat="false" ht="15" hidden="false" customHeight="false" outlineLevel="0" collapsed="false">
      <c r="A37" s="7" t="s">
        <v>78</v>
      </c>
      <c r="B37" s="3" t="n">
        <f aca="false">COUNTIFS(Deals!$A$2:$A$501,"funding",Deals!$G$2:$G$501,$A37)</f>
        <v>0</v>
      </c>
      <c r="C37" s="4" t="n">
        <f aca="false">SUMIFS(Deals!$D$2:$D$501,Deals!$A$2:$A$501,"funding",Deals!$G$2:$G$501,$A37)</f>
        <v>0</v>
      </c>
    </row>
    <row r="38" customFormat="false" ht="15" hidden="false" customHeight="false" outlineLevel="0" collapsed="false">
      <c r="A38" s="7" t="s">
        <v>79</v>
      </c>
      <c r="B38" s="3" t="n">
        <f aca="false">COUNTIFS(Deals!$A$2:$A$501,"funding",Deals!$G$2:$G$501,$A38)</f>
        <v>0</v>
      </c>
      <c r="C38" s="4" t="n">
        <f aca="false">SUMIFS(Deals!$D$2:$D$501,Deals!$A$2:$A$501,"funding",Deals!$G$2:$G$501,$A38)</f>
        <v>0</v>
      </c>
    </row>
    <row r="39" customFormat="false" ht="15" hidden="false" customHeight="false" outlineLevel="0" collapsed="false">
      <c r="A39" s="7" t="s">
        <v>80</v>
      </c>
      <c r="B39" s="3" t="n">
        <f aca="false">COUNTIFS(Deals!$A$2:$A$501,"funding",Deals!$G$2:$G$501,$A39)</f>
        <v>0</v>
      </c>
      <c r="C39" s="4" t="n">
        <f aca="false">SUMIFS(Deals!$D$2:$D$501,Deals!$A$2:$A$501,"funding",Deals!$G$2:$G$501,$A39)</f>
        <v>0</v>
      </c>
    </row>
    <row r="40" customFormat="false" ht="15" hidden="false" customHeight="false" outlineLevel="0" collapsed="false">
      <c r="A40" s="7" t="s">
        <v>81</v>
      </c>
      <c r="B40" s="3" t="n">
        <f aca="false">COUNTIFS(Deals!$A$2:$A$501,"funding",Deals!$G$2:$G$501,$A40)</f>
        <v>0</v>
      </c>
      <c r="C40" s="4" t="n">
        <f aca="false">SUMIFS(Deals!$D$2:$D$501,Deals!$A$2:$A$501,"funding",Deals!$G$2:$G$501,$A40)</f>
        <v>0</v>
      </c>
    </row>
    <row r="41" customFormat="false" ht="15" hidden="false" customHeight="false" outlineLevel="0" collapsed="false">
      <c r="A41" s="7" t="s">
        <v>66</v>
      </c>
      <c r="B41" s="3" t="n">
        <f aca="false">COUNTIFS(Deals!$A$2:$A$501,"funding",Deals!$G$2:$G$501,$A41)</f>
        <v>0</v>
      </c>
      <c r="C41" s="4" t="n">
        <f aca="false">SUMIFS(Deals!$D$2:$D$501,Deals!$A$2:$A$501,"funding",Deals!$G$2:$G$501,$A41)</f>
        <v>0</v>
      </c>
    </row>
    <row r="43" customFormat="false" ht="15" hidden="false" customHeight="false" outlineLevel="0" collapsed="false">
      <c r="A43" s="6" t="s">
        <v>82</v>
      </c>
      <c r="B43" s="1" t="s">
        <v>60</v>
      </c>
      <c r="C43" s="1" t="s">
        <v>61</v>
      </c>
    </row>
    <row r="44" customFormat="false" ht="15" hidden="false" customHeight="false" outlineLevel="0" collapsed="false">
      <c r="A44" s="7" t="s">
        <v>24</v>
      </c>
      <c r="B44" s="3" t="n">
        <f aca="false">COUNTIFS(Deals!$A$2:$A$501,"funding",Deals!$K$2:$K$501,$A44)</f>
        <v>1</v>
      </c>
      <c r="C44" s="4" t="n">
        <f aca="false">SUMIFS(Deals!$D$2:$D$501,Deals!$A$2:$A$501,"funding",Deals!$K$2:$K$501,$A44)</f>
        <v>12000000</v>
      </c>
    </row>
    <row r="45" customFormat="false" ht="15" hidden="false" customHeight="false" outlineLevel="0" collapsed="false">
      <c r="A45" s="7" t="s">
        <v>35</v>
      </c>
      <c r="B45" s="3" t="n">
        <f aca="false">COUNTIFS(Deals!$A$2:$A$501,"funding",Deals!$K$2:$K$501,$A45)</f>
        <v>1</v>
      </c>
      <c r="C45" s="4" t="n">
        <f aca="false">SUMIFS(Deals!$D$2:$D$501,Deals!$A$2:$A$501,"funding",Deals!$K$2:$K$501,$A45)</f>
        <v>2500000</v>
      </c>
    </row>
    <row r="46" customFormat="false" ht="15" hidden="false" customHeight="false" outlineLevel="0" collapsed="false">
      <c r="A46" s="7" t="s">
        <v>83</v>
      </c>
      <c r="B46" s="3" t="n">
        <f aca="false">COUNTIFS(Deals!$A$2:$A$501,"funding",Deals!$K$2:$K$501,$A46)</f>
        <v>0</v>
      </c>
      <c r="C46" s="4" t="n">
        <f aca="false">SUMIFS(Deals!$D$2:$D$501,Deals!$A$2:$A$501,"funding",Deals!$K$2:$K$501,$A46)</f>
        <v>0</v>
      </c>
    </row>
    <row r="47" customFormat="false" ht="15" hidden="false" customHeight="false" outlineLevel="0" collapsed="false">
      <c r="A47" s="7" t="s">
        <v>84</v>
      </c>
      <c r="B47" s="3" t="n">
        <f aca="false">COUNTIFS(Deals!$A$2:$A$501,"funding",Deals!$K$2:$K$501,$A47)</f>
        <v>0</v>
      </c>
      <c r="C47" s="4" t="n">
        <f aca="false">SUMIFS(Deals!$D$2:$D$501,Deals!$A$2:$A$501,"funding",Deals!$K$2:$K$501,$A47)</f>
        <v>0</v>
      </c>
    </row>
    <row r="48" customFormat="false" ht="15" hidden="false" customHeight="false" outlineLevel="0" collapsed="false">
      <c r="A48" s="7" t="s">
        <v>85</v>
      </c>
      <c r="B48" s="3" t="n">
        <f aca="false">COUNTIFS(Deals!$A$2:$A$501,"funding",Deals!$K$2:$K$501,$A48)</f>
        <v>0</v>
      </c>
      <c r="C48" s="4" t="n">
        <f aca="false">SUMIFS(Deals!$D$2:$D$501,Deals!$A$2:$A$501,"funding",Deals!$K$2:$K$501,$A48)</f>
        <v>0</v>
      </c>
    </row>
    <row r="49" customFormat="false" ht="15" hidden="false" customHeight="false" outlineLevel="0" collapsed="false">
      <c r="A49" s="7" t="s">
        <v>86</v>
      </c>
      <c r="B49" s="3" t="n">
        <f aca="false">COUNTIFS(Deals!$A$2:$A$501,"funding",Deals!$K$2:$K$501,$A49)</f>
        <v>0</v>
      </c>
      <c r="C49" s="4" t="n">
        <f aca="false">SUMIFS(Deals!$D$2:$D$501,Deals!$A$2:$A$501,"funding",Deals!$K$2:$K$501,$A49)</f>
        <v>0</v>
      </c>
    </row>
    <row r="50" customFormat="false" ht="15" hidden="false" customHeight="false" outlineLevel="0" collapsed="false">
      <c r="A50" s="7" t="s">
        <v>87</v>
      </c>
      <c r="B50" s="3" t="n">
        <f aca="false">COUNTIFS(Deals!$A$2:$A$501,"funding",Deals!$K$2:$K$501,$A50)</f>
        <v>0</v>
      </c>
      <c r="C50" s="4" t="n">
        <f aca="false">SUMIFS(Deals!$D$2:$D$501,Deals!$A$2:$A$501,"funding",Deals!$K$2:$K$501,$A50)</f>
        <v>0</v>
      </c>
    </row>
    <row r="51" customFormat="false" ht="15" hidden="false" customHeight="false" outlineLevel="0" collapsed="false">
      <c r="A51" s="7" t="s">
        <v>88</v>
      </c>
      <c r="B51" s="3" t="n">
        <f aca="false">COUNTIFS(Deals!$A$2:$A$501,"funding",Deals!$K$2:$K$501,$A51)</f>
        <v>0</v>
      </c>
      <c r="C51" s="4" t="n">
        <f aca="false">SUMIFS(Deals!$D$2:$D$501,Deals!$A$2:$A$501,"funding",Deals!$K$2:$K$501,$A51)</f>
        <v>0</v>
      </c>
    </row>
    <row r="52" customFormat="false" ht="15" hidden="false" customHeight="false" outlineLevel="0" collapsed="false">
      <c r="A52" s="7" t="s">
        <v>89</v>
      </c>
      <c r="B52" s="3" t="n">
        <f aca="false">COUNTIFS(Deals!$A$2:$A$501,"funding",Deals!$K$2:$K$501,$A52)</f>
        <v>0</v>
      </c>
      <c r="C52" s="4" t="n">
        <f aca="false">SUMIFS(Deals!$D$2:$D$501,Deals!$A$2:$A$501,"funding",Deals!$K$2:$K$501,$A52)</f>
        <v>0</v>
      </c>
    </row>
    <row r="53" customFormat="false" ht="15" hidden="false" customHeight="false" outlineLevel="0" collapsed="false">
      <c r="A53" s="8" t="s">
        <v>67</v>
      </c>
      <c r="B53" s="8" t="n">
        <f aca="false">SUM(B44:B52)</f>
        <v>2</v>
      </c>
      <c r="C53" s="11" t="n">
        <f aca="false">SUM(C44:C52)</f>
        <v>14500000</v>
      </c>
    </row>
    <row r="55" customFormat="false" ht="15" hidden="false" customHeight="false" outlineLevel="0" collapsed="false">
      <c r="A55" s="6" t="s">
        <v>90</v>
      </c>
      <c r="B55" s="1" t="s">
        <v>60</v>
      </c>
      <c r="C55" s="1" t="s">
        <v>61</v>
      </c>
    </row>
    <row r="56" customFormat="false" ht="15" hidden="false" customHeight="false" outlineLevel="0" collapsed="false">
      <c r="A56" s="12"/>
      <c r="B56" s="3" t="str">
        <f aca="false">IF($A56="","",COUNTIFS(Deals!$A$2:$A$501,"funding",Deals!$J$2:$J$501,$A56))</f>
        <v/>
      </c>
      <c r="C56" s="4" t="str">
        <f aca="false">IF($A56="","",SUMIFS(Deals!$D$2:$D$501,Deals!$A$2:$A$501,"funding",Deals!$J$2:$J$501,$A56))</f>
        <v/>
      </c>
    </row>
    <row r="57" customFormat="false" ht="15" hidden="false" customHeight="false" outlineLevel="0" collapsed="false">
      <c r="A57" s="12"/>
      <c r="B57" s="3" t="str">
        <f aca="false">IF($A57="","",COUNTIFS(Deals!$A$2:$A$501,"funding",Deals!$J$2:$J$501,$A57))</f>
        <v/>
      </c>
      <c r="C57" s="4" t="str">
        <f aca="false">IF($A57="","",SUMIFS(Deals!$D$2:$D$501,Deals!$A$2:$A$501,"funding",Deals!$J$2:$J$501,$A57))</f>
        <v/>
      </c>
    </row>
    <row r="58" customFormat="false" ht="15" hidden="false" customHeight="false" outlineLevel="0" collapsed="false">
      <c r="A58" s="12"/>
      <c r="B58" s="3" t="str">
        <f aca="false">IF($A58="","",COUNTIFS(Deals!$A$2:$A$501,"funding",Deals!$J$2:$J$501,$A58))</f>
        <v/>
      </c>
      <c r="C58" s="4" t="str">
        <f aca="false">IF($A58="","",SUMIFS(Deals!$D$2:$D$501,Deals!$A$2:$A$501,"funding",Deals!$J$2:$J$501,$A58))</f>
        <v/>
      </c>
    </row>
    <row r="59" customFormat="false" ht="15" hidden="false" customHeight="false" outlineLevel="0" collapsed="false">
      <c r="A59" s="12"/>
      <c r="B59" s="3" t="str">
        <f aca="false">IF($A59="","",COUNTIFS(Deals!$A$2:$A$501,"funding",Deals!$J$2:$J$501,$A59))</f>
        <v/>
      </c>
      <c r="C59" s="4" t="str">
        <f aca="false">IF($A59="","",SUMIFS(Deals!$D$2:$D$501,Deals!$A$2:$A$501,"funding",Deals!$J$2:$J$501,$A59))</f>
        <v/>
      </c>
    </row>
    <row r="60" customFormat="false" ht="15" hidden="false" customHeight="false" outlineLevel="0" collapsed="false">
      <c r="A60" s="12"/>
      <c r="B60" s="3" t="str">
        <f aca="false">IF($A60="","",COUNTIFS(Deals!$A$2:$A$501,"funding",Deals!$J$2:$J$501,$A60))</f>
        <v/>
      </c>
      <c r="C60" s="4" t="str">
        <f aca="false">IF($A60="","",SUMIFS(Deals!$D$2:$D$501,Deals!$A$2:$A$501,"funding",Deals!$J$2:$J$501,$A60))</f>
        <v/>
      </c>
    </row>
    <row r="61" customFormat="false" ht="15" hidden="false" customHeight="false" outlineLevel="0" collapsed="false">
      <c r="A61" s="12"/>
      <c r="B61" s="3" t="str">
        <f aca="false">IF($A61="","",COUNTIFS(Deals!$A$2:$A$501,"funding",Deals!$J$2:$J$501,$A61))</f>
        <v/>
      </c>
      <c r="C61" s="4" t="str">
        <f aca="false">IF($A61="","",SUMIFS(Deals!$D$2:$D$501,Deals!$A$2:$A$501,"funding",Deals!$J$2:$J$501,$A61))</f>
        <v/>
      </c>
    </row>
    <row r="62" customFormat="false" ht="15" hidden="false" customHeight="false" outlineLevel="0" collapsed="false">
      <c r="A62" s="12"/>
      <c r="B62" s="3" t="str">
        <f aca="false">IF($A62="","",COUNTIFS(Deals!$A$2:$A$501,"funding",Deals!$J$2:$J$501,$A62))</f>
        <v/>
      </c>
      <c r="C62" s="4" t="str">
        <f aca="false">IF($A62="","",SUMIFS(Deals!$D$2:$D$501,Deals!$A$2:$A$501,"funding",Deals!$J$2:$J$501,$A62))</f>
        <v/>
      </c>
    </row>
    <row r="63" customFormat="false" ht="15" hidden="false" customHeight="false" outlineLevel="0" collapsed="false">
      <c r="A63" s="12"/>
      <c r="B63" s="3" t="str">
        <f aca="false">IF($A63="","",COUNTIFS(Deals!$A$2:$A$501,"funding",Deals!$J$2:$J$501,$A63))</f>
        <v/>
      </c>
      <c r="C63" s="4" t="str">
        <f aca="false">IF($A63="","",SUMIFS(Deals!$D$2:$D$501,Deals!$A$2:$A$501,"funding",Deals!$J$2:$J$501,$A63))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2026-07-01T09:38:19Z</dcterms:created>
  <dc:creator>openpyxl</dc:creator>
  <dc:description/>
  <dc:language>en-US</dc:language>
  <cp:lastModifiedBy/>
  <dcterms:modified xsi:type="dcterms:W3CDTF">2026-07-01T09:38:19Z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